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101.87\굿윌공용\09. 후원\기업물품배분\유의성\각종 양식\"/>
    </mc:Choice>
  </mc:AlternateContent>
  <xr:revisionPtr revIDLastSave="0" documentId="13_ncr:1_{734DD080-F845-46BA-8EED-E418033E22A8}" xr6:coauthVersionLast="47" xr6:coauthVersionMax="47" xr10:uidLastSave="{00000000-0000-0000-0000-000000000000}"/>
  <bookViews>
    <workbookView xWindow="23880" yWindow="-120" windowWidth="29040" windowHeight="15840" firstSheet="8" activeTab="10" xr2:uid="{3E974C4E-ADC7-45FD-9D14-B6F731E30AB7}"/>
  </bookViews>
  <sheets>
    <sheet name="고정데이터1_2023년 기증방법별 기증량 " sheetId="8" r:id="rId1"/>
    <sheet name="고정데이터2_2024년 기증방법별 기증량 " sheetId="9" r:id="rId2"/>
    <sheet name="고정데이터3_2025년 기증방법별 기증량" sheetId="10" r:id="rId3"/>
    <sheet name="고정데이터4_2023-2025년 지점별 기업기증" sheetId="4" r:id="rId4"/>
    <sheet name="고정데이터5_직접기증(기증센터) 총 기증량" sheetId="3" r:id="rId5"/>
    <sheet name="고정데이터6_지점별 기증센터 기증량" sheetId="1" r:id="rId6"/>
    <sheet name="고정데이터7_지점별 기증센터 기증량2" sheetId="2" r:id="rId7"/>
    <sheet name="고정데이터8_지점별 월별 방문수거 기증량" sheetId="11" r:id="rId8"/>
    <sheet name="고정데이터9_지점별 월별 택배수거 기증량" sheetId="12" r:id="rId9"/>
    <sheet name="고정데이터10_지점별 월별 부서제출 기증량" sheetId="13" r:id="rId10"/>
    <sheet name="고정데이터11_지점별 월별 기업기증 기증량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7" i="12" l="1"/>
  <c r="C17" i="11"/>
  <c r="E123" i="14"/>
  <c r="D123" i="14"/>
  <c r="C123" i="14"/>
  <c r="H122" i="14"/>
  <c r="G122" i="14"/>
  <c r="F122" i="14"/>
  <c r="H121" i="14"/>
  <c r="G121" i="14"/>
  <c r="F121" i="14"/>
  <c r="H120" i="14"/>
  <c r="G120" i="14"/>
  <c r="F120" i="14"/>
  <c r="H119" i="14"/>
  <c r="G119" i="14"/>
  <c r="F119" i="14"/>
  <c r="H118" i="14"/>
  <c r="G118" i="14"/>
  <c r="F118" i="14"/>
  <c r="H117" i="14"/>
  <c r="G117" i="14"/>
  <c r="F117" i="14"/>
  <c r="H116" i="14"/>
  <c r="G116" i="14"/>
  <c r="F116" i="14"/>
  <c r="H115" i="14"/>
  <c r="G115" i="14"/>
  <c r="F115" i="14"/>
  <c r="H114" i="14"/>
  <c r="G114" i="14"/>
  <c r="F114" i="14"/>
  <c r="H113" i="14"/>
  <c r="G113" i="14"/>
  <c r="F113" i="14"/>
  <c r="H112" i="14"/>
  <c r="G112" i="14"/>
  <c r="F112" i="14"/>
  <c r="H111" i="14"/>
  <c r="G111" i="14"/>
  <c r="F111" i="14"/>
  <c r="K108" i="14"/>
  <c r="J108" i="14"/>
  <c r="I108" i="14"/>
  <c r="H108" i="14"/>
  <c r="G108" i="14"/>
  <c r="F108" i="14"/>
  <c r="E108" i="14"/>
  <c r="D108" i="14"/>
  <c r="C108" i="14"/>
  <c r="K93" i="14"/>
  <c r="J93" i="14"/>
  <c r="I93" i="14"/>
  <c r="H93" i="14"/>
  <c r="G93" i="14"/>
  <c r="F93" i="14"/>
  <c r="E93" i="14"/>
  <c r="D93" i="14"/>
  <c r="C93" i="14"/>
  <c r="K78" i="14"/>
  <c r="J78" i="14"/>
  <c r="I78" i="14"/>
  <c r="H78" i="14"/>
  <c r="G78" i="14"/>
  <c r="F78" i="14"/>
  <c r="E78" i="14"/>
  <c r="D78" i="14"/>
  <c r="C78" i="14"/>
  <c r="K62" i="14"/>
  <c r="J62" i="14"/>
  <c r="I62" i="14"/>
  <c r="H62" i="14"/>
  <c r="G62" i="14"/>
  <c r="F62" i="14"/>
  <c r="E62" i="14"/>
  <c r="D62" i="14"/>
  <c r="C62" i="14"/>
  <c r="K47" i="14"/>
  <c r="J47" i="14"/>
  <c r="I47" i="14"/>
  <c r="H47" i="14"/>
  <c r="G47" i="14"/>
  <c r="F47" i="14"/>
  <c r="E47" i="14"/>
  <c r="D47" i="14"/>
  <c r="C47" i="14"/>
  <c r="K32" i="14"/>
  <c r="J32" i="14"/>
  <c r="I32" i="14"/>
  <c r="H32" i="14"/>
  <c r="G32" i="14"/>
  <c r="F32" i="14"/>
  <c r="E32" i="14"/>
  <c r="D32" i="14"/>
  <c r="C32" i="14"/>
  <c r="K17" i="14"/>
  <c r="J17" i="14"/>
  <c r="I17" i="14"/>
  <c r="H17" i="14"/>
  <c r="G17" i="14"/>
  <c r="F17" i="14"/>
  <c r="E17" i="14"/>
  <c r="D17" i="14"/>
  <c r="C17" i="14"/>
  <c r="E123" i="13"/>
  <c r="D123" i="13"/>
  <c r="C123" i="13"/>
  <c r="H122" i="13"/>
  <c r="G122" i="13"/>
  <c r="F122" i="13"/>
  <c r="H121" i="13"/>
  <c r="G121" i="13"/>
  <c r="F121" i="13"/>
  <c r="H120" i="13"/>
  <c r="G120" i="13"/>
  <c r="F120" i="13"/>
  <c r="H119" i="13"/>
  <c r="G119" i="13"/>
  <c r="F119" i="13"/>
  <c r="H118" i="13"/>
  <c r="G118" i="13"/>
  <c r="F118" i="13"/>
  <c r="H117" i="13"/>
  <c r="G117" i="13"/>
  <c r="F117" i="13"/>
  <c r="H116" i="13"/>
  <c r="G116" i="13"/>
  <c r="F116" i="13"/>
  <c r="H115" i="13"/>
  <c r="G115" i="13"/>
  <c r="F115" i="13"/>
  <c r="H114" i="13"/>
  <c r="G114" i="13"/>
  <c r="F114" i="13"/>
  <c r="H113" i="13"/>
  <c r="G113" i="13"/>
  <c r="F113" i="13"/>
  <c r="H112" i="13"/>
  <c r="G112" i="13"/>
  <c r="F112" i="13"/>
  <c r="H111" i="13"/>
  <c r="G111" i="13"/>
  <c r="G123" i="13" s="1"/>
  <c r="F111" i="13"/>
  <c r="K108" i="13"/>
  <c r="J108" i="13"/>
  <c r="I108" i="13"/>
  <c r="H108" i="13"/>
  <c r="G108" i="13"/>
  <c r="F108" i="13"/>
  <c r="E108" i="13"/>
  <c r="D108" i="13"/>
  <c r="C108" i="13"/>
  <c r="K93" i="13"/>
  <c r="J93" i="13"/>
  <c r="I93" i="13"/>
  <c r="H93" i="13"/>
  <c r="G93" i="13"/>
  <c r="F93" i="13"/>
  <c r="E93" i="13"/>
  <c r="D93" i="13"/>
  <c r="C93" i="13"/>
  <c r="K78" i="13"/>
  <c r="J78" i="13"/>
  <c r="I78" i="13"/>
  <c r="H78" i="13"/>
  <c r="G78" i="13"/>
  <c r="F78" i="13"/>
  <c r="E78" i="13"/>
  <c r="D78" i="13"/>
  <c r="C78" i="13"/>
  <c r="K62" i="13"/>
  <c r="J62" i="13"/>
  <c r="I62" i="13"/>
  <c r="H62" i="13"/>
  <c r="G62" i="13"/>
  <c r="F62" i="13"/>
  <c r="E62" i="13"/>
  <c r="D62" i="13"/>
  <c r="C62" i="13"/>
  <c r="K47" i="13"/>
  <c r="J47" i="13"/>
  <c r="I47" i="13"/>
  <c r="H47" i="13"/>
  <c r="G47" i="13"/>
  <c r="F47" i="13"/>
  <c r="E47" i="13"/>
  <c r="D47" i="13"/>
  <c r="C47" i="13"/>
  <c r="K32" i="13"/>
  <c r="J32" i="13"/>
  <c r="I32" i="13"/>
  <c r="H32" i="13"/>
  <c r="G32" i="13"/>
  <c r="F32" i="13"/>
  <c r="E32" i="13"/>
  <c r="D32" i="13"/>
  <c r="C32" i="13"/>
  <c r="K17" i="13"/>
  <c r="J17" i="13"/>
  <c r="I17" i="13"/>
  <c r="H17" i="13"/>
  <c r="G17" i="13"/>
  <c r="F17" i="13"/>
  <c r="E17" i="13"/>
  <c r="D17" i="13"/>
  <c r="C17" i="13"/>
  <c r="E123" i="12"/>
  <c r="D123" i="12"/>
  <c r="C123" i="12"/>
  <c r="H122" i="12"/>
  <c r="G122" i="12"/>
  <c r="F122" i="12"/>
  <c r="H121" i="12"/>
  <c r="G121" i="12"/>
  <c r="F121" i="12"/>
  <c r="H120" i="12"/>
  <c r="G120" i="12"/>
  <c r="F120" i="12"/>
  <c r="H119" i="12"/>
  <c r="G119" i="12"/>
  <c r="F119" i="12"/>
  <c r="H118" i="12"/>
  <c r="G118" i="12"/>
  <c r="F118" i="12"/>
  <c r="H117" i="12"/>
  <c r="G117" i="12"/>
  <c r="F117" i="12"/>
  <c r="H116" i="12"/>
  <c r="G116" i="12"/>
  <c r="F116" i="12"/>
  <c r="H115" i="12"/>
  <c r="G115" i="12"/>
  <c r="F115" i="12"/>
  <c r="H114" i="12"/>
  <c r="G114" i="12"/>
  <c r="F114" i="12"/>
  <c r="H113" i="12"/>
  <c r="G113" i="12"/>
  <c r="F113" i="12"/>
  <c r="H112" i="12"/>
  <c r="G112" i="12"/>
  <c r="F112" i="12"/>
  <c r="H111" i="12"/>
  <c r="G111" i="12"/>
  <c r="F111" i="12"/>
  <c r="K108" i="12"/>
  <c r="J108" i="12"/>
  <c r="I108" i="12"/>
  <c r="H108" i="12"/>
  <c r="G108" i="12"/>
  <c r="F108" i="12"/>
  <c r="E108" i="12"/>
  <c r="D108" i="12"/>
  <c r="C108" i="12"/>
  <c r="K93" i="12"/>
  <c r="J93" i="12"/>
  <c r="I93" i="12"/>
  <c r="H93" i="12"/>
  <c r="G93" i="12"/>
  <c r="F93" i="12"/>
  <c r="E93" i="12"/>
  <c r="D93" i="12"/>
  <c r="C93" i="12"/>
  <c r="K78" i="12"/>
  <c r="J78" i="12"/>
  <c r="I78" i="12"/>
  <c r="H78" i="12"/>
  <c r="G78" i="12"/>
  <c r="F78" i="12"/>
  <c r="E78" i="12"/>
  <c r="D78" i="12"/>
  <c r="C78" i="12"/>
  <c r="K62" i="12"/>
  <c r="J62" i="12"/>
  <c r="I62" i="12"/>
  <c r="H62" i="12"/>
  <c r="G62" i="12"/>
  <c r="F62" i="12"/>
  <c r="E62" i="12"/>
  <c r="D62" i="12"/>
  <c r="C62" i="12"/>
  <c r="K47" i="12"/>
  <c r="J47" i="12"/>
  <c r="I47" i="12"/>
  <c r="G47" i="12"/>
  <c r="F47" i="12"/>
  <c r="E47" i="12"/>
  <c r="D47" i="12"/>
  <c r="C47" i="12"/>
  <c r="K32" i="12"/>
  <c r="J32" i="12"/>
  <c r="I32" i="12"/>
  <c r="H32" i="12"/>
  <c r="G32" i="12"/>
  <c r="F32" i="12"/>
  <c r="E32" i="12"/>
  <c r="D32" i="12"/>
  <c r="C32" i="12"/>
  <c r="K17" i="12"/>
  <c r="J17" i="12"/>
  <c r="I17" i="12"/>
  <c r="H17" i="12"/>
  <c r="G17" i="12"/>
  <c r="F17" i="12"/>
  <c r="E17" i="12"/>
  <c r="D17" i="12"/>
  <c r="C17" i="12"/>
  <c r="E123" i="11"/>
  <c r="D123" i="11"/>
  <c r="C123" i="11"/>
  <c r="H122" i="11"/>
  <c r="G122" i="11"/>
  <c r="F122" i="11"/>
  <c r="H121" i="11"/>
  <c r="G121" i="11"/>
  <c r="F121" i="11"/>
  <c r="H120" i="11"/>
  <c r="G120" i="11"/>
  <c r="F120" i="11"/>
  <c r="H119" i="11"/>
  <c r="G119" i="11"/>
  <c r="F119" i="11"/>
  <c r="H118" i="11"/>
  <c r="G118" i="11"/>
  <c r="F118" i="11"/>
  <c r="H117" i="11"/>
  <c r="G117" i="11"/>
  <c r="F117" i="11"/>
  <c r="H116" i="11"/>
  <c r="G116" i="11"/>
  <c r="F116" i="11"/>
  <c r="H115" i="11"/>
  <c r="G115" i="11"/>
  <c r="F115" i="11"/>
  <c r="H114" i="11"/>
  <c r="G114" i="11"/>
  <c r="F114" i="11"/>
  <c r="H113" i="11"/>
  <c r="G113" i="11"/>
  <c r="F113" i="11"/>
  <c r="H112" i="11"/>
  <c r="G112" i="11"/>
  <c r="F112" i="11"/>
  <c r="H111" i="11"/>
  <c r="G111" i="11"/>
  <c r="F111" i="11"/>
  <c r="K108" i="11"/>
  <c r="J108" i="11"/>
  <c r="I108" i="11"/>
  <c r="H108" i="11"/>
  <c r="G108" i="11"/>
  <c r="F108" i="11"/>
  <c r="E108" i="11"/>
  <c r="D108" i="11"/>
  <c r="C108" i="11"/>
  <c r="K93" i="11"/>
  <c r="J93" i="11"/>
  <c r="I93" i="11"/>
  <c r="H93" i="11"/>
  <c r="G93" i="11"/>
  <c r="F93" i="11"/>
  <c r="E93" i="11"/>
  <c r="D93" i="11"/>
  <c r="C93" i="11"/>
  <c r="K78" i="11"/>
  <c r="J78" i="11"/>
  <c r="I78" i="11"/>
  <c r="H78" i="11"/>
  <c r="G78" i="11"/>
  <c r="F78" i="11"/>
  <c r="E78" i="11"/>
  <c r="D78" i="11"/>
  <c r="C78" i="11"/>
  <c r="K62" i="11"/>
  <c r="J62" i="11"/>
  <c r="I62" i="11"/>
  <c r="H62" i="11"/>
  <c r="G62" i="11"/>
  <c r="F62" i="11"/>
  <c r="E62" i="11"/>
  <c r="D62" i="11"/>
  <c r="C62" i="11"/>
  <c r="K47" i="11"/>
  <c r="J47" i="11"/>
  <c r="I47" i="11"/>
  <c r="H47" i="11"/>
  <c r="G47" i="11"/>
  <c r="F47" i="11"/>
  <c r="E47" i="11"/>
  <c r="D47" i="11"/>
  <c r="C47" i="11"/>
  <c r="K32" i="11"/>
  <c r="J32" i="11"/>
  <c r="I32" i="11"/>
  <c r="H32" i="11"/>
  <c r="G32" i="11"/>
  <c r="F32" i="11"/>
  <c r="E32" i="11"/>
  <c r="D32" i="11"/>
  <c r="C32" i="11"/>
  <c r="K17" i="11"/>
  <c r="J17" i="11"/>
  <c r="I17" i="11"/>
  <c r="H17" i="11"/>
  <c r="G17" i="11"/>
  <c r="F17" i="11"/>
  <c r="E17" i="11"/>
  <c r="D17" i="11"/>
  <c r="H123" i="14" l="1"/>
  <c r="G123" i="14"/>
  <c r="F123" i="14"/>
  <c r="H123" i="13"/>
  <c r="F123" i="13"/>
  <c r="H123" i="12"/>
  <c r="G123" i="12"/>
  <c r="F123" i="12"/>
  <c r="F123" i="11"/>
  <c r="G123" i="11"/>
  <c r="H123" i="11"/>
  <c r="E44" i="4" l="1"/>
  <c r="F44" i="4"/>
  <c r="G44" i="4"/>
  <c r="G43" i="4"/>
  <c r="F43" i="4"/>
  <c r="E43" i="4"/>
  <c r="G42" i="4"/>
  <c r="F42" i="4"/>
  <c r="E42" i="4"/>
  <c r="C62" i="2" l="1"/>
  <c r="F47" i="2"/>
  <c r="G112" i="2" l="1"/>
  <c r="H122" i="2"/>
  <c r="H121" i="2"/>
  <c r="H120" i="2"/>
  <c r="H119" i="2"/>
  <c r="H118" i="2"/>
  <c r="H117" i="2"/>
  <c r="H116" i="2"/>
  <c r="H115" i="2"/>
  <c r="H114" i="2"/>
  <c r="H113" i="2"/>
  <c r="H112" i="2"/>
  <c r="H111" i="2"/>
  <c r="G122" i="2"/>
  <c r="G121" i="2"/>
  <c r="G120" i="2"/>
  <c r="G119" i="2"/>
  <c r="G118" i="2"/>
  <c r="G117" i="2"/>
  <c r="G116" i="2"/>
  <c r="G115" i="2"/>
  <c r="G114" i="2"/>
  <c r="G113" i="2"/>
  <c r="G111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H43" i="1"/>
  <c r="G43" i="1"/>
  <c r="F43" i="1"/>
  <c r="F42" i="1"/>
  <c r="G42" i="1"/>
  <c r="H42" i="1"/>
  <c r="H41" i="1"/>
  <c r="G41" i="1"/>
  <c r="F41" i="1"/>
  <c r="E123" i="2"/>
  <c r="D123" i="2"/>
  <c r="C123" i="2"/>
  <c r="K108" i="2"/>
  <c r="J108" i="2"/>
  <c r="I108" i="2"/>
  <c r="H108" i="2"/>
  <c r="G108" i="2"/>
  <c r="F108" i="2"/>
  <c r="E108" i="2"/>
  <c r="D108" i="2"/>
  <c r="C108" i="2"/>
  <c r="K93" i="2"/>
  <c r="J93" i="2"/>
  <c r="I93" i="2"/>
  <c r="H93" i="2"/>
  <c r="G93" i="2"/>
  <c r="F93" i="2"/>
  <c r="E93" i="2"/>
  <c r="D93" i="2"/>
  <c r="C93" i="2"/>
  <c r="K78" i="2"/>
  <c r="J78" i="2"/>
  <c r="I78" i="2"/>
  <c r="H78" i="2"/>
  <c r="G78" i="2"/>
  <c r="F78" i="2"/>
  <c r="E78" i="2"/>
  <c r="D78" i="2"/>
  <c r="C78" i="2"/>
  <c r="K62" i="2"/>
  <c r="J62" i="2"/>
  <c r="I62" i="2"/>
  <c r="H62" i="2"/>
  <c r="G62" i="2"/>
  <c r="F62" i="2"/>
  <c r="E62" i="2"/>
  <c r="D62" i="2"/>
  <c r="K47" i="2"/>
  <c r="J47" i="2"/>
  <c r="I47" i="2"/>
  <c r="H47" i="2"/>
  <c r="G47" i="2"/>
  <c r="E47" i="2"/>
  <c r="D47" i="2"/>
  <c r="C47" i="2"/>
  <c r="K32" i="2"/>
  <c r="J32" i="2"/>
  <c r="I32" i="2"/>
  <c r="H32" i="2"/>
  <c r="G32" i="2"/>
  <c r="F32" i="2"/>
  <c r="E32" i="2"/>
  <c r="D32" i="2"/>
  <c r="C32" i="2"/>
  <c r="K17" i="2"/>
  <c r="J17" i="2"/>
  <c r="I17" i="2"/>
  <c r="H17" i="2"/>
  <c r="G17" i="2"/>
  <c r="F17" i="2"/>
  <c r="E17" i="2"/>
  <c r="D17" i="2"/>
  <c r="C17" i="2"/>
  <c r="H123" i="2" l="1"/>
  <c r="F123" i="2"/>
  <c r="G123" i="2"/>
</calcChain>
</file>

<file path=xl/sharedStrings.xml><?xml version="1.0" encoding="utf-8"?>
<sst xmlns="http://schemas.openxmlformats.org/spreadsheetml/2006/main" count="993" uniqueCount="65">
  <si>
    <t>수도권</t>
    <phoneticPr fontId="2" type="noConversion"/>
  </si>
  <si>
    <t>기증방법</t>
    <phoneticPr fontId="2" type="noConversion"/>
  </si>
  <si>
    <t>송파</t>
    <phoneticPr fontId="2" type="noConversion"/>
  </si>
  <si>
    <t>성남</t>
    <phoneticPr fontId="2" type="noConversion"/>
  </si>
  <si>
    <t>도봉</t>
    <phoneticPr fontId="2" type="noConversion"/>
  </si>
  <si>
    <t>건 수</t>
    <phoneticPr fontId="2" type="noConversion"/>
  </si>
  <si>
    <t>수량</t>
    <phoneticPr fontId="2" type="noConversion"/>
  </si>
  <si>
    <t>금액</t>
    <phoneticPr fontId="2" type="noConversion"/>
  </si>
  <si>
    <t>2023년</t>
    <phoneticPr fontId="2" type="noConversion"/>
  </si>
  <si>
    <t>2024년</t>
    <phoneticPr fontId="2" type="noConversion"/>
  </si>
  <si>
    <t>2025년</t>
  </si>
  <si>
    <t>구리</t>
    <phoneticPr fontId="2" type="noConversion"/>
  </si>
  <si>
    <t>인천</t>
    <phoneticPr fontId="2" type="noConversion"/>
  </si>
  <si>
    <t>일산</t>
    <phoneticPr fontId="2" type="noConversion"/>
  </si>
  <si>
    <t>강남세움</t>
    <phoneticPr fontId="2" type="noConversion"/>
  </si>
  <si>
    <t>강서</t>
    <phoneticPr fontId="2" type="noConversion"/>
  </si>
  <si>
    <t>금천</t>
    <phoneticPr fontId="2" type="noConversion"/>
  </si>
  <si>
    <t>성북</t>
    <phoneticPr fontId="2" type="noConversion"/>
  </si>
  <si>
    <t>안산상록</t>
    <phoneticPr fontId="2" type="noConversion"/>
  </si>
  <si>
    <t>지방</t>
    <phoneticPr fontId="2" type="noConversion"/>
  </si>
  <si>
    <t>창원</t>
    <phoneticPr fontId="2" type="noConversion"/>
  </si>
  <si>
    <t>전주</t>
    <phoneticPr fontId="2" type="noConversion"/>
  </si>
  <si>
    <t>월성</t>
    <phoneticPr fontId="2" type="noConversion"/>
  </si>
  <si>
    <t>대전</t>
    <phoneticPr fontId="2" type="noConversion"/>
  </si>
  <si>
    <t>유성</t>
    <phoneticPr fontId="2" type="noConversion"/>
  </si>
  <si>
    <t>광주MBC옛터</t>
    <phoneticPr fontId="2" type="noConversion"/>
  </si>
  <si>
    <t>부산망미</t>
    <phoneticPr fontId="2" type="noConversion"/>
  </si>
  <si>
    <t>울산무거</t>
    <phoneticPr fontId="2" type="noConversion"/>
  </si>
  <si>
    <t>청주상당</t>
    <phoneticPr fontId="2" type="noConversion"/>
  </si>
  <si>
    <t>직접기증 수량 총계</t>
    <phoneticPr fontId="2" type="noConversion"/>
  </si>
  <si>
    <t>월 구분</t>
    <phoneticPr fontId="2" type="noConversion"/>
  </si>
  <si>
    <t>총계</t>
    <phoneticPr fontId="2" type="noConversion"/>
  </si>
  <si>
    <t>굿윌스토어 직접기증 총계</t>
    <phoneticPr fontId="2" type="noConversion"/>
  </si>
  <si>
    <t>기증연수</t>
    <phoneticPr fontId="2" type="noConversion"/>
  </si>
  <si>
    <t>기증월수</t>
    <phoneticPr fontId="2" type="noConversion"/>
  </si>
  <si>
    <t>기증물품 수량</t>
    <phoneticPr fontId="2" type="noConversion"/>
  </si>
  <si>
    <t>2025년</t>
    <phoneticPr fontId="2" type="noConversion"/>
  </si>
  <si>
    <t>수원북문</t>
    <phoneticPr fontId="2" type="noConversion"/>
  </si>
  <si>
    <t>지점 기업기증 총계</t>
    <phoneticPr fontId="2" type="noConversion"/>
  </si>
  <si>
    <t>비율</t>
    <phoneticPr fontId="2" type="noConversion"/>
  </si>
  <si>
    <t>방문수거</t>
    <phoneticPr fontId="2" type="noConversion"/>
  </si>
  <si>
    <t>직접기증</t>
    <phoneticPr fontId="2" type="noConversion"/>
  </si>
  <si>
    <t>택배수거</t>
    <phoneticPr fontId="2" type="noConversion"/>
  </si>
  <si>
    <t>부서제출</t>
    <phoneticPr fontId="2" type="noConversion"/>
  </si>
  <si>
    <t>기업기증</t>
    <phoneticPr fontId="2" type="noConversion"/>
  </si>
  <si>
    <t>총합</t>
    <phoneticPr fontId="2" type="noConversion"/>
  </si>
  <si>
    <t>기증방법별 총계</t>
    <phoneticPr fontId="2" type="noConversion"/>
  </si>
  <si>
    <t>제주연동</t>
    <phoneticPr fontId="2" type="noConversion"/>
  </si>
  <si>
    <t>굿윌스토어 지점별 기증센터 기증량(모점포 기준)</t>
    <phoneticPr fontId="2" type="noConversion"/>
  </si>
  <si>
    <t>굿윌스토어 지점별 기업기증 분석(2023-2025년)</t>
    <phoneticPr fontId="2" type="noConversion"/>
  </si>
  <si>
    <t>굿윌스토어 지점별 기증방법 통계(2023년)</t>
    <phoneticPr fontId="2" type="noConversion"/>
  </si>
  <si>
    <t>굿윌스토어 지점별 기증방법 통계(2024년)</t>
    <phoneticPr fontId="2" type="noConversion"/>
  </si>
  <si>
    <t>굿윌스토어 지점별 기증방법 통계(2025년)</t>
    <phoneticPr fontId="2" type="noConversion"/>
  </si>
  <si>
    <t>연도별 직접기증(기증센터) 기증량 통계</t>
    <phoneticPr fontId="2" type="noConversion"/>
  </si>
  <si>
    <t>기증연도</t>
  </si>
  <si>
    <t>2023년</t>
  </si>
  <si>
    <t>2024년</t>
  </si>
  <si>
    <t>굿윌스토어 지점별 방문수거 기증량(모점포 기준)</t>
    <phoneticPr fontId="2" type="noConversion"/>
  </si>
  <si>
    <t>굿윌스토어 지점별 택배수거 기증량(모점포 기준)</t>
    <phoneticPr fontId="2" type="noConversion"/>
  </si>
  <si>
    <t>굿윌스토어 지점별 부서제출 기증량(모점포 기준)</t>
    <phoneticPr fontId="2" type="noConversion"/>
  </si>
  <si>
    <t>굿윌스토어 방문수거 총계</t>
    <phoneticPr fontId="2" type="noConversion"/>
  </si>
  <si>
    <t>굿윌스토어 택배수거 총계</t>
    <phoneticPr fontId="2" type="noConversion"/>
  </si>
  <si>
    <t>굿윌스토어 부서제출 총계</t>
    <phoneticPr fontId="2" type="noConversion"/>
  </si>
  <si>
    <t>굿윌스토어 지점별 기업기증 기증량(모점포 기준)</t>
    <phoneticPr fontId="2" type="noConversion"/>
  </si>
  <si>
    <t>굿윌스토어 기업기증 총계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</si>
</sst>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41" fontId="5" fillId="0" borderId="13" xfId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41" fontId="4" fillId="0" borderId="13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3" borderId="10" xfId="0" applyFont="1" applyFill="1" applyBorder="1" applyAlignment="1">
      <alignment horizontal="center" vertical="center"/>
    </xf>
    <xf numFmtId="41" fontId="4" fillId="3" borderId="10" xfId="1" applyFont="1" applyFill="1" applyBorder="1" applyAlignment="1">
      <alignment horizontal="center" vertical="center"/>
    </xf>
    <xf numFmtId="41" fontId="5" fillId="0" borderId="10" xfId="1" applyFont="1" applyBorder="1">
      <alignment vertical="center"/>
    </xf>
    <xf numFmtId="41" fontId="0" fillId="0" borderId="0" xfId="0" applyNumberFormat="1">
      <alignment vertical="center"/>
    </xf>
    <xf numFmtId="9" fontId="5" fillId="0" borderId="11" xfId="2" applyFont="1" applyBorder="1" applyAlignment="1">
      <alignment horizontal="center" vertical="center"/>
    </xf>
    <xf numFmtId="0" fontId="4" fillId="0" borderId="28" xfId="0" applyFont="1" applyBorder="1">
      <alignment vertical="center"/>
    </xf>
    <xf numFmtId="9" fontId="5" fillId="0" borderId="14" xfId="2" applyFont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41" fontId="5" fillId="0" borderId="26" xfId="1" applyFont="1" applyBorder="1" applyAlignment="1">
      <alignment horizontal="center" vertical="center"/>
    </xf>
    <xf numFmtId="41" fontId="5" fillId="0" borderId="27" xfId="1" applyFont="1" applyBorder="1" applyAlignment="1">
      <alignment horizontal="center" vertical="center"/>
    </xf>
    <xf numFmtId="41" fontId="5" fillId="0" borderId="0" xfId="1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41" fontId="0" fillId="0" borderId="0" xfId="1" applyFont="1">
      <alignment vertical="center"/>
    </xf>
    <xf numFmtId="41" fontId="6" fillId="0" borderId="0" xfId="0" applyNumberFormat="1" applyFont="1">
      <alignment vertical="center"/>
    </xf>
    <xf numFmtId="9" fontId="7" fillId="0" borderId="11" xfId="2" applyFont="1" applyBorder="1" applyAlignment="1">
      <alignment horizontal="center" vertical="center"/>
    </xf>
    <xf numFmtId="9" fontId="7" fillId="0" borderId="14" xfId="2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0" fontId="0" fillId="0" borderId="36" xfId="0" applyBorder="1">
      <alignment vertical="center"/>
    </xf>
    <xf numFmtId="41" fontId="8" fillId="0" borderId="13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1" fontId="6" fillId="0" borderId="13" xfId="1" applyFont="1" applyBorder="1" applyAlignment="1">
      <alignment horizontal="center" vertical="center"/>
    </xf>
    <xf numFmtId="41" fontId="4" fillId="0" borderId="27" xfId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41" fontId="7" fillId="0" borderId="10" xfId="1" applyFont="1" applyBorder="1" applyAlignment="1">
      <alignment horizontal="center" vertical="center"/>
    </xf>
    <xf numFmtId="9" fontId="5" fillId="0" borderId="31" xfId="2" applyFont="1" applyBorder="1" applyAlignment="1">
      <alignment horizontal="center" vertical="center"/>
    </xf>
    <xf numFmtId="9" fontId="5" fillId="0" borderId="32" xfId="2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41" fontId="7" fillId="0" borderId="26" xfId="1" applyFont="1" applyBorder="1" applyAlignment="1">
      <alignment horizontal="center" vertical="center"/>
    </xf>
    <xf numFmtId="41" fontId="8" fillId="0" borderId="27" xfId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41" fontId="5" fillId="0" borderId="41" xfId="1" applyFont="1" applyBorder="1" applyAlignment="1">
      <alignment horizontal="center" vertical="center"/>
    </xf>
    <xf numFmtId="41" fontId="5" fillId="0" borderId="16" xfId="1" applyFont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15" xfId="1" applyFont="1" applyBorder="1" applyAlignment="1">
      <alignment horizontal="center" vertical="center"/>
    </xf>
    <xf numFmtId="41" fontId="5" fillId="0" borderId="27" xfId="1" applyFont="1" applyBorder="1">
      <alignment vertical="center"/>
    </xf>
    <xf numFmtId="41" fontId="5" fillId="0" borderId="13" xfId="1" applyFont="1" applyBorder="1">
      <alignment vertical="center"/>
    </xf>
    <xf numFmtId="41" fontId="5" fillId="0" borderId="14" xfId="1" applyFont="1" applyBorder="1">
      <alignment vertical="center"/>
    </xf>
    <xf numFmtId="41" fontId="5" fillId="0" borderId="12" xfId="1" applyFont="1" applyBorder="1">
      <alignment vertical="center"/>
    </xf>
    <xf numFmtId="41" fontId="5" fillId="0" borderId="38" xfId="1" applyFont="1" applyBorder="1" applyAlignment="1">
      <alignment horizontal="center" vertical="center"/>
    </xf>
    <xf numFmtId="41" fontId="5" fillId="0" borderId="32" xfId="1" applyFont="1" applyBorder="1">
      <alignment vertical="center"/>
    </xf>
    <xf numFmtId="41" fontId="5" fillId="0" borderId="15" xfId="1" applyFont="1" applyBorder="1">
      <alignment vertical="center"/>
    </xf>
    <xf numFmtId="41" fontId="5" fillId="0" borderId="16" xfId="1" applyFont="1" applyBorder="1">
      <alignment vertical="center"/>
    </xf>
    <xf numFmtId="41" fontId="5" fillId="0" borderId="24" xfId="1" applyFont="1" applyBorder="1">
      <alignment vertical="center"/>
    </xf>
    <xf numFmtId="0" fontId="0" fillId="0" borderId="44" xfId="0" applyBorder="1">
      <alignment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5666-446D-4FF1-B35F-B4CEFBAB8568}">
  <sheetPr>
    <tabColor theme="5" tint="0.79998168889431442"/>
  </sheetPr>
  <dimension ref="B1:O70"/>
  <sheetViews>
    <sheetView topLeftCell="A37" workbookViewId="0">
      <selection activeCell="F17" sqref="F17"/>
    </sheetView>
  </sheetViews>
  <sheetFormatPr defaultRowHeight="16.5"/>
  <cols>
    <col min="2" max="2" width="13.25" customWidth="1"/>
    <col min="3" max="3" width="9.375" bestFit="1" customWidth="1"/>
    <col min="4" max="4" width="11.875" bestFit="1" customWidth="1"/>
    <col min="5" max="5" width="16.875" bestFit="1" customWidth="1"/>
    <col min="6" max="6" width="8.75" bestFit="1" customWidth="1"/>
    <col min="7" max="7" width="10.875" bestFit="1" customWidth="1"/>
    <col min="8" max="8" width="10.875" customWidth="1"/>
    <col min="9" max="9" width="14.625" bestFit="1" customWidth="1"/>
    <col min="10" max="10" width="8.75" bestFit="1" customWidth="1"/>
    <col min="11" max="11" width="9.125" bestFit="1" customWidth="1"/>
    <col min="12" max="12" width="11.625" customWidth="1"/>
    <col min="13" max="13" width="14.625" bestFit="1" customWidth="1"/>
    <col min="14" max="14" width="8" bestFit="1" customWidth="1"/>
  </cols>
  <sheetData>
    <row r="1" spans="2:14" ht="21" thickBot="1">
      <c r="B1" s="86" t="s">
        <v>50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8"/>
    </row>
    <row r="2" spans="2:14" ht="18.75" customHeight="1" thickBot="1">
      <c r="B2" s="84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3" spans="2:14" ht="18.75" customHeight="1">
      <c r="B3" s="78" t="s">
        <v>1</v>
      </c>
      <c r="C3" s="69" t="s">
        <v>2</v>
      </c>
      <c r="D3" s="68"/>
      <c r="E3" s="68"/>
      <c r="F3" s="79"/>
      <c r="G3" s="69" t="s">
        <v>3</v>
      </c>
      <c r="H3" s="68"/>
      <c r="I3" s="68"/>
      <c r="J3" s="83"/>
      <c r="K3" s="67" t="s">
        <v>4</v>
      </c>
      <c r="L3" s="68"/>
      <c r="M3" s="68"/>
      <c r="N3" s="83"/>
    </row>
    <row r="4" spans="2:14" ht="18.75" customHeight="1">
      <c r="B4" s="70"/>
      <c r="C4" s="1" t="s">
        <v>5</v>
      </c>
      <c r="D4" s="2" t="s">
        <v>6</v>
      </c>
      <c r="E4" s="2" t="s">
        <v>7</v>
      </c>
      <c r="F4" s="22" t="s">
        <v>39</v>
      </c>
      <c r="G4" s="1" t="s">
        <v>5</v>
      </c>
      <c r="H4" s="2" t="s">
        <v>6</v>
      </c>
      <c r="I4" s="2" t="s">
        <v>7</v>
      </c>
      <c r="J4" s="3" t="s">
        <v>39</v>
      </c>
      <c r="K4" s="23" t="s">
        <v>5</v>
      </c>
      <c r="L4" s="2" t="s">
        <v>6</v>
      </c>
      <c r="M4" s="2" t="s">
        <v>7</v>
      </c>
      <c r="N4" s="3" t="s">
        <v>39</v>
      </c>
    </row>
    <row r="5" spans="2:14" ht="18.75" customHeight="1">
      <c r="B5" s="4" t="s">
        <v>40</v>
      </c>
      <c r="C5" s="5">
        <v>18891</v>
      </c>
      <c r="D5" s="6">
        <v>1469808</v>
      </c>
      <c r="E5" s="6">
        <v>3953647700</v>
      </c>
      <c r="F5" s="41">
        <v>0.49935805421970209</v>
      </c>
      <c r="G5" s="5">
        <v>20211</v>
      </c>
      <c r="H5" s="6">
        <v>1759834</v>
      </c>
      <c r="I5" s="6">
        <v>4671944990</v>
      </c>
      <c r="J5" s="19">
        <v>0.61680561289974356</v>
      </c>
      <c r="K5" s="24">
        <v>20055</v>
      </c>
      <c r="L5" s="6">
        <v>1550801</v>
      </c>
      <c r="M5" s="6">
        <v>4292334140</v>
      </c>
      <c r="N5" s="19">
        <v>0.59254836900287788</v>
      </c>
    </row>
    <row r="6" spans="2:14" ht="18.75" customHeight="1">
      <c r="B6" s="4" t="s">
        <v>41</v>
      </c>
      <c r="C6" s="5">
        <v>18311</v>
      </c>
      <c r="D6" s="6">
        <v>850287</v>
      </c>
      <c r="E6" s="6">
        <v>2059364162</v>
      </c>
      <c r="F6" s="41">
        <v>0.28887967805884024</v>
      </c>
      <c r="G6" s="5">
        <v>16709</v>
      </c>
      <c r="H6" s="6">
        <v>662870</v>
      </c>
      <c r="I6" s="6">
        <v>1830528370</v>
      </c>
      <c r="J6" s="19">
        <v>0.23232983146299763</v>
      </c>
      <c r="K6" s="24">
        <v>12669</v>
      </c>
      <c r="L6" s="6">
        <v>605799</v>
      </c>
      <c r="M6" s="6">
        <v>1738002046</v>
      </c>
      <c r="N6" s="19">
        <v>0.23147083951685254</v>
      </c>
    </row>
    <row r="7" spans="2:14" ht="18.75" customHeight="1">
      <c r="B7" s="4" t="s">
        <v>42</v>
      </c>
      <c r="C7" s="5">
        <v>5791</v>
      </c>
      <c r="D7" s="6">
        <v>331696</v>
      </c>
      <c r="E7" s="6">
        <v>894983520</v>
      </c>
      <c r="F7" s="41">
        <v>0.11269163669843837</v>
      </c>
      <c r="G7" s="5">
        <v>1991</v>
      </c>
      <c r="H7" s="6">
        <v>210738</v>
      </c>
      <c r="I7" s="6">
        <v>344293740</v>
      </c>
      <c r="J7" s="19">
        <v>7.3861728578528518E-2</v>
      </c>
      <c r="K7" s="24">
        <v>5497</v>
      </c>
      <c r="L7" s="6">
        <v>288142</v>
      </c>
      <c r="M7" s="6">
        <v>780550400</v>
      </c>
      <c r="N7" s="19">
        <v>0.11009669979657431</v>
      </c>
    </row>
    <row r="8" spans="2:14" ht="18.75" customHeight="1">
      <c r="B8" s="4" t="s">
        <v>43</v>
      </c>
      <c r="C8" s="5">
        <v>3724</v>
      </c>
      <c r="D8" s="6">
        <v>66082</v>
      </c>
      <c r="E8" s="6">
        <v>179538200</v>
      </c>
      <c r="F8" s="41">
        <v>2.245094525199642E-2</v>
      </c>
      <c r="G8" s="5">
        <v>2798</v>
      </c>
      <c r="H8" s="6">
        <v>110210</v>
      </c>
      <c r="I8" s="6">
        <v>307805500</v>
      </c>
      <c r="J8" s="19">
        <v>3.862759021457747E-2</v>
      </c>
      <c r="K8" s="24">
        <v>2971</v>
      </c>
      <c r="L8" s="6">
        <v>36593</v>
      </c>
      <c r="M8" s="6">
        <v>104201200</v>
      </c>
      <c r="N8" s="19">
        <v>1.3981885791228089E-2</v>
      </c>
    </row>
    <row r="9" spans="2:14" ht="18.75" customHeight="1">
      <c r="B9" s="4" t="s">
        <v>44</v>
      </c>
      <c r="C9" s="5">
        <v>36</v>
      </c>
      <c r="D9" s="6">
        <v>225522</v>
      </c>
      <c r="E9" s="6">
        <v>2677698412</v>
      </c>
      <c r="F9" s="41">
        <v>7.6619685771022919E-2</v>
      </c>
      <c r="G9" s="5">
        <v>62</v>
      </c>
      <c r="H9" s="6">
        <v>109490</v>
      </c>
      <c r="I9" s="6">
        <v>610397408</v>
      </c>
      <c r="J9" s="19">
        <v>3.8375236844152866E-2</v>
      </c>
      <c r="K9" s="24">
        <v>78</v>
      </c>
      <c r="L9" s="6">
        <v>135837</v>
      </c>
      <c r="M9" s="6">
        <v>1146681989</v>
      </c>
      <c r="N9" s="19">
        <v>5.1902205892467135E-2</v>
      </c>
    </row>
    <row r="10" spans="2:14" ht="18.75" customHeight="1" thickBot="1">
      <c r="B10" s="20" t="s">
        <v>45</v>
      </c>
      <c r="C10" s="8">
        <v>46753</v>
      </c>
      <c r="D10" s="9">
        <v>2943395</v>
      </c>
      <c r="E10" s="9">
        <v>9765231994</v>
      </c>
      <c r="F10" s="42">
        <v>1</v>
      </c>
      <c r="G10" s="8">
        <v>41771</v>
      </c>
      <c r="H10" s="9">
        <v>2853142</v>
      </c>
      <c r="I10" s="9">
        <v>7764970008</v>
      </c>
      <c r="J10" s="21">
        <v>1.0000000000000002</v>
      </c>
      <c r="K10" s="25">
        <v>41270</v>
      </c>
      <c r="L10" s="9">
        <v>2617172</v>
      </c>
      <c r="M10" s="9">
        <v>8061769775</v>
      </c>
      <c r="N10" s="21">
        <v>1</v>
      </c>
    </row>
    <row r="11" spans="2:14" ht="18.75" customHeight="1">
      <c r="B11" s="71" t="s">
        <v>1</v>
      </c>
      <c r="C11" s="69" t="s">
        <v>11</v>
      </c>
      <c r="D11" s="68"/>
      <c r="E11" s="68"/>
      <c r="F11" s="79"/>
      <c r="G11" s="69" t="s">
        <v>37</v>
      </c>
      <c r="H11" s="68"/>
      <c r="I11" s="68"/>
      <c r="J11" s="83"/>
      <c r="K11" s="67" t="s">
        <v>12</v>
      </c>
      <c r="L11" s="68"/>
      <c r="M11" s="68"/>
      <c r="N11" s="83"/>
    </row>
    <row r="12" spans="2:14" ht="18.75" customHeight="1">
      <c r="B12" s="70"/>
      <c r="C12" s="1" t="s">
        <v>5</v>
      </c>
      <c r="D12" s="2" t="s">
        <v>6</v>
      </c>
      <c r="E12" s="2" t="s">
        <v>7</v>
      </c>
      <c r="F12" s="22" t="s">
        <v>39</v>
      </c>
      <c r="G12" s="1" t="s">
        <v>5</v>
      </c>
      <c r="H12" s="2" t="s">
        <v>6</v>
      </c>
      <c r="I12" s="2" t="s">
        <v>7</v>
      </c>
      <c r="J12" s="3" t="s">
        <v>39</v>
      </c>
      <c r="K12" s="23" t="s">
        <v>5</v>
      </c>
      <c r="L12" s="2" t="s">
        <v>6</v>
      </c>
      <c r="M12" s="2" t="s">
        <v>7</v>
      </c>
      <c r="N12" s="3" t="s">
        <v>39</v>
      </c>
    </row>
    <row r="13" spans="2:14" ht="18.75" customHeight="1">
      <c r="B13" s="4" t="s">
        <v>40</v>
      </c>
      <c r="C13" s="5">
        <v>7542</v>
      </c>
      <c r="D13" s="6">
        <v>613271</v>
      </c>
      <c r="E13" s="6">
        <v>1694917400</v>
      </c>
      <c r="F13" s="41">
        <v>0.62756890230112661</v>
      </c>
      <c r="G13" s="5">
        <v>768</v>
      </c>
      <c r="H13" s="6">
        <v>69750</v>
      </c>
      <c r="I13" s="6">
        <v>183351400</v>
      </c>
      <c r="J13" s="19">
        <v>0.71986624420752787</v>
      </c>
      <c r="K13" s="24">
        <v>2510</v>
      </c>
      <c r="L13" s="6">
        <v>214014</v>
      </c>
      <c r="M13" s="6">
        <v>584563500</v>
      </c>
      <c r="N13" s="19">
        <v>0.62369658854455057</v>
      </c>
    </row>
    <row r="14" spans="2:14" ht="18.75" customHeight="1">
      <c r="B14" s="4" t="s">
        <v>41</v>
      </c>
      <c r="C14" s="5">
        <v>5988</v>
      </c>
      <c r="D14" s="6">
        <v>235243</v>
      </c>
      <c r="E14" s="6">
        <v>679643120</v>
      </c>
      <c r="F14" s="41">
        <v>0.24072749450736122</v>
      </c>
      <c r="G14" s="5">
        <v>515</v>
      </c>
      <c r="H14" s="6">
        <v>21118</v>
      </c>
      <c r="I14" s="6">
        <v>58573800</v>
      </c>
      <c r="J14" s="19">
        <v>0.21795176122114085</v>
      </c>
      <c r="K14" s="24">
        <v>2426</v>
      </c>
      <c r="L14" s="6">
        <v>73901</v>
      </c>
      <c r="M14" s="6">
        <v>211960600</v>
      </c>
      <c r="N14" s="19">
        <v>0.21536816091485059</v>
      </c>
    </row>
    <row r="15" spans="2:14" ht="18.75" customHeight="1">
      <c r="B15" s="4" t="s">
        <v>42</v>
      </c>
      <c r="C15" s="5">
        <v>894</v>
      </c>
      <c r="D15" s="6">
        <v>35935</v>
      </c>
      <c r="E15" s="6">
        <v>102977700</v>
      </c>
      <c r="F15" s="41">
        <v>3.677279457889087E-2</v>
      </c>
      <c r="G15" s="5">
        <v>113</v>
      </c>
      <c r="H15" s="6">
        <v>4146</v>
      </c>
      <c r="I15" s="6">
        <v>12129100</v>
      </c>
      <c r="J15" s="19">
        <v>4.2789468795475419E-2</v>
      </c>
      <c r="K15" s="24">
        <v>515</v>
      </c>
      <c r="L15" s="6">
        <v>20547</v>
      </c>
      <c r="M15" s="6">
        <v>58265700</v>
      </c>
      <c r="N15" s="19">
        <v>5.9879698546940301E-2</v>
      </c>
    </row>
    <row r="16" spans="2:14" ht="18.75" customHeight="1">
      <c r="B16" s="4" t="s">
        <v>43</v>
      </c>
      <c r="C16" s="5">
        <v>1855</v>
      </c>
      <c r="D16" s="6">
        <v>44683</v>
      </c>
      <c r="E16" s="6">
        <v>131260100</v>
      </c>
      <c r="F16" s="41">
        <v>4.5724746908823728E-2</v>
      </c>
      <c r="G16" s="5">
        <v>137</v>
      </c>
      <c r="H16" s="6">
        <v>1103</v>
      </c>
      <c r="I16" s="6">
        <v>2948000</v>
      </c>
      <c r="J16" s="19">
        <v>1.1383691288328363E-2</v>
      </c>
      <c r="K16" s="24">
        <v>1153</v>
      </c>
      <c r="L16" s="6">
        <v>23851</v>
      </c>
      <c r="M16" s="6">
        <v>71411000</v>
      </c>
      <c r="N16" s="19">
        <v>6.9508477638734273E-2</v>
      </c>
    </row>
    <row r="17" spans="2:14" ht="18.75" customHeight="1">
      <c r="B17" s="4" t="s">
        <v>44</v>
      </c>
      <c r="C17" s="5">
        <v>72</v>
      </c>
      <c r="D17" s="6">
        <v>48085</v>
      </c>
      <c r="E17" s="6">
        <v>658407096</v>
      </c>
      <c r="F17" s="41">
        <v>4.920606170379762E-2</v>
      </c>
      <c r="G17" s="5">
        <v>1</v>
      </c>
      <c r="H17" s="6">
        <v>776</v>
      </c>
      <c r="I17" s="6">
        <v>43360000</v>
      </c>
      <c r="J17" s="19">
        <v>8.0088344875274796E-3</v>
      </c>
      <c r="K17" s="24">
        <v>7</v>
      </c>
      <c r="L17" s="6">
        <v>10825</v>
      </c>
      <c r="M17" s="6">
        <v>29253236</v>
      </c>
      <c r="N17" s="19">
        <v>3.1547074354924258E-2</v>
      </c>
    </row>
    <row r="18" spans="2:14" ht="18.75" customHeight="1" thickBot="1">
      <c r="B18" s="20" t="s">
        <v>45</v>
      </c>
      <c r="C18" s="8">
        <v>16351</v>
      </c>
      <c r="D18" s="9">
        <v>977217</v>
      </c>
      <c r="E18" s="9">
        <v>3267205416</v>
      </c>
      <c r="F18" s="42">
        <v>1</v>
      </c>
      <c r="G18" s="8">
        <v>1534</v>
      </c>
      <c r="H18" s="9">
        <v>96893</v>
      </c>
      <c r="I18" s="9">
        <v>300362300</v>
      </c>
      <c r="J18" s="21">
        <v>0.99999999999999989</v>
      </c>
      <c r="K18" s="25">
        <v>6611</v>
      </c>
      <c r="L18" s="9">
        <v>343138</v>
      </c>
      <c r="M18" s="9">
        <v>955454036</v>
      </c>
      <c r="N18" s="21">
        <v>0.99999999999999989</v>
      </c>
    </row>
    <row r="19" spans="2:14" ht="18.75" customHeight="1">
      <c r="B19" s="78" t="s">
        <v>1</v>
      </c>
      <c r="C19" s="69" t="s">
        <v>13</v>
      </c>
      <c r="D19" s="68"/>
      <c r="E19" s="68"/>
      <c r="F19" s="79"/>
      <c r="G19" s="69" t="s">
        <v>14</v>
      </c>
      <c r="H19" s="68"/>
      <c r="I19" s="68"/>
      <c r="J19" s="83"/>
      <c r="K19" s="67" t="s">
        <v>15</v>
      </c>
      <c r="L19" s="68"/>
      <c r="M19" s="68"/>
      <c r="N19" s="83"/>
    </row>
    <row r="20" spans="2:14" ht="18.75" customHeight="1">
      <c r="B20" s="70"/>
      <c r="C20" s="1" t="s">
        <v>5</v>
      </c>
      <c r="D20" s="2" t="s">
        <v>6</v>
      </c>
      <c r="E20" s="2" t="s">
        <v>7</v>
      </c>
      <c r="F20" s="22" t="s">
        <v>39</v>
      </c>
      <c r="G20" s="1" t="s">
        <v>5</v>
      </c>
      <c r="H20" s="2" t="s">
        <v>6</v>
      </c>
      <c r="I20" s="2" t="s">
        <v>7</v>
      </c>
      <c r="J20" s="3" t="s">
        <v>39</v>
      </c>
      <c r="K20" s="23" t="s">
        <v>5</v>
      </c>
      <c r="L20" s="2" t="s">
        <v>6</v>
      </c>
      <c r="M20" s="2" t="s">
        <v>7</v>
      </c>
      <c r="N20" s="3" t="s">
        <v>39</v>
      </c>
    </row>
    <row r="21" spans="2:14" ht="18.75" customHeight="1">
      <c r="B21" s="4" t="s">
        <v>40</v>
      </c>
      <c r="C21" s="5">
        <v>6091</v>
      </c>
      <c r="D21" s="6">
        <v>494814</v>
      </c>
      <c r="E21" s="6">
        <v>1358383000</v>
      </c>
      <c r="F21" s="41">
        <v>0.619096355092011</v>
      </c>
      <c r="G21" s="5">
        <v>6264</v>
      </c>
      <c r="H21" s="6">
        <v>469817</v>
      </c>
      <c r="I21" s="6">
        <v>1254466200</v>
      </c>
      <c r="J21" s="19">
        <v>0.6607536650952418</v>
      </c>
      <c r="K21" s="24">
        <v>2258</v>
      </c>
      <c r="L21" s="6">
        <v>160963</v>
      </c>
      <c r="M21" s="6">
        <v>447628800</v>
      </c>
      <c r="N21" s="19">
        <v>0.78095677065644564</v>
      </c>
    </row>
    <row r="22" spans="2:14" ht="18.75" customHeight="1">
      <c r="B22" s="4" t="s">
        <v>41</v>
      </c>
      <c r="C22" s="5">
        <v>7440</v>
      </c>
      <c r="D22" s="6">
        <v>222631</v>
      </c>
      <c r="E22" s="6">
        <v>620572200</v>
      </c>
      <c r="F22" s="41">
        <v>0.27854919349591867</v>
      </c>
      <c r="G22" s="5">
        <v>4826</v>
      </c>
      <c r="H22" s="6">
        <v>153353</v>
      </c>
      <c r="I22" s="6">
        <v>420712800</v>
      </c>
      <c r="J22" s="19">
        <v>0.21567665027734337</v>
      </c>
      <c r="K22" s="24">
        <v>1104</v>
      </c>
      <c r="L22" s="6">
        <v>35261</v>
      </c>
      <c r="M22" s="6">
        <v>96157400</v>
      </c>
      <c r="N22" s="19">
        <v>0.1710785502886808</v>
      </c>
    </row>
    <row r="23" spans="2:14" ht="18.75" customHeight="1">
      <c r="B23" s="4" t="s">
        <v>42</v>
      </c>
      <c r="C23" s="5">
        <v>178</v>
      </c>
      <c r="D23" s="6">
        <v>6798</v>
      </c>
      <c r="E23" s="6">
        <v>18767600</v>
      </c>
      <c r="F23" s="41">
        <v>8.5054525981792979E-3</v>
      </c>
      <c r="G23" s="5">
        <v>211</v>
      </c>
      <c r="H23" s="6">
        <v>6192</v>
      </c>
      <c r="I23" s="6">
        <v>17438300</v>
      </c>
      <c r="J23" s="19">
        <v>8.7084688171559094E-3</v>
      </c>
      <c r="K23" s="24">
        <v>175</v>
      </c>
      <c r="L23" s="6">
        <v>6599</v>
      </c>
      <c r="M23" s="6">
        <v>19763900</v>
      </c>
      <c r="N23" s="19">
        <v>3.2016884188054921E-2</v>
      </c>
    </row>
    <row r="24" spans="2:14" ht="18.75" customHeight="1">
      <c r="B24" s="4" t="s">
        <v>43</v>
      </c>
      <c r="C24" s="5">
        <v>1973</v>
      </c>
      <c r="D24" s="6">
        <v>19554</v>
      </c>
      <c r="E24" s="6">
        <v>53193300</v>
      </c>
      <c r="F24" s="41">
        <v>2.446537512574257E-2</v>
      </c>
      <c r="G24" s="5">
        <v>4164</v>
      </c>
      <c r="H24" s="6">
        <v>34197</v>
      </c>
      <c r="I24" s="6">
        <v>107649500</v>
      </c>
      <c r="J24" s="19">
        <v>4.809488180560087E-2</v>
      </c>
      <c r="K24" s="24">
        <v>76</v>
      </c>
      <c r="L24" s="6">
        <v>817</v>
      </c>
      <c r="M24" s="6">
        <v>1974200</v>
      </c>
      <c r="N24" s="19">
        <v>3.9639027703653393E-3</v>
      </c>
    </row>
    <row r="25" spans="2:14">
      <c r="B25" s="4" t="s">
        <v>44</v>
      </c>
      <c r="C25" s="5">
        <v>33</v>
      </c>
      <c r="D25" s="6">
        <v>55455</v>
      </c>
      <c r="E25" s="6">
        <v>250994688</v>
      </c>
      <c r="F25" s="41">
        <v>6.9383623688148419E-2</v>
      </c>
      <c r="G25" s="5">
        <v>39</v>
      </c>
      <c r="H25" s="6">
        <v>47473</v>
      </c>
      <c r="I25" s="6">
        <v>289725480</v>
      </c>
      <c r="J25" s="19">
        <v>6.6766334004658021E-2</v>
      </c>
      <c r="K25" s="24">
        <v>3</v>
      </c>
      <c r="L25" s="6">
        <v>2470</v>
      </c>
      <c r="M25" s="6">
        <v>11730200</v>
      </c>
      <c r="N25" s="19">
        <v>1.198389209645335E-2</v>
      </c>
    </row>
    <row r="26" spans="2:14" ht="17.25" thickBot="1">
      <c r="B26" s="20" t="s">
        <v>45</v>
      </c>
      <c r="C26" s="8">
        <v>15715</v>
      </c>
      <c r="D26" s="9">
        <v>799252</v>
      </c>
      <c r="E26" s="9">
        <v>2301910788</v>
      </c>
      <c r="F26" s="42">
        <v>0.99999999999999989</v>
      </c>
      <c r="G26" s="8">
        <v>15504</v>
      </c>
      <c r="H26" s="9">
        <v>711032</v>
      </c>
      <c r="I26" s="9">
        <v>2089992280</v>
      </c>
      <c r="J26" s="21">
        <v>1</v>
      </c>
      <c r="K26" s="25">
        <v>3616</v>
      </c>
      <c r="L26" s="9">
        <v>206110</v>
      </c>
      <c r="M26" s="9">
        <v>577254500</v>
      </c>
      <c r="N26" s="21">
        <v>1</v>
      </c>
    </row>
    <row r="27" spans="2:14">
      <c r="B27" s="78" t="s">
        <v>1</v>
      </c>
      <c r="C27" s="69" t="s">
        <v>16</v>
      </c>
      <c r="D27" s="68"/>
      <c r="E27" s="68"/>
      <c r="F27" s="79"/>
      <c r="G27" s="69" t="s">
        <v>17</v>
      </c>
      <c r="H27" s="68"/>
      <c r="I27" s="68"/>
      <c r="J27" s="83"/>
      <c r="K27" s="67" t="s">
        <v>18</v>
      </c>
      <c r="L27" s="68"/>
      <c r="M27" s="68"/>
      <c r="N27" s="83"/>
    </row>
    <row r="28" spans="2:14">
      <c r="B28" s="70"/>
      <c r="C28" s="1" t="s">
        <v>5</v>
      </c>
      <c r="D28" s="2" t="s">
        <v>6</v>
      </c>
      <c r="E28" s="2" t="s">
        <v>7</v>
      </c>
      <c r="F28" s="22" t="s">
        <v>39</v>
      </c>
      <c r="G28" s="1" t="s">
        <v>5</v>
      </c>
      <c r="H28" s="2" t="s">
        <v>6</v>
      </c>
      <c r="I28" s="2" t="s">
        <v>7</v>
      </c>
      <c r="J28" s="3" t="s">
        <v>39</v>
      </c>
      <c r="K28" s="23" t="s">
        <v>5</v>
      </c>
      <c r="L28" s="2" t="s">
        <v>6</v>
      </c>
      <c r="M28" s="2" t="s">
        <v>7</v>
      </c>
      <c r="N28" s="3" t="s">
        <v>39</v>
      </c>
    </row>
    <row r="29" spans="2:14">
      <c r="B29" s="4" t="s">
        <v>40</v>
      </c>
      <c r="C29" s="5">
        <v>8</v>
      </c>
      <c r="D29" s="6">
        <v>771</v>
      </c>
      <c r="E29" s="6">
        <v>2274800</v>
      </c>
      <c r="F29" s="41">
        <v>3.6772070396337099E-2</v>
      </c>
      <c r="G29" s="5">
        <v>0</v>
      </c>
      <c r="H29" s="6">
        <v>0</v>
      </c>
      <c r="I29" s="6">
        <v>0</v>
      </c>
      <c r="J29" s="19" t="e">
        <v>#DIV/0!</v>
      </c>
      <c r="K29" s="24">
        <v>0</v>
      </c>
      <c r="L29" s="6">
        <v>0</v>
      </c>
      <c r="M29" s="6">
        <v>0</v>
      </c>
      <c r="N29" s="19" t="e">
        <v>#DIV/0!</v>
      </c>
    </row>
    <row r="30" spans="2:14">
      <c r="B30" s="4" t="s">
        <v>41</v>
      </c>
      <c r="C30" s="5">
        <v>399</v>
      </c>
      <c r="D30" s="6">
        <v>14809</v>
      </c>
      <c r="E30" s="6">
        <v>40692800</v>
      </c>
      <c r="F30" s="41">
        <v>0.70630037678256308</v>
      </c>
      <c r="G30" s="5">
        <v>0</v>
      </c>
      <c r="H30" s="6">
        <v>0</v>
      </c>
      <c r="I30" s="6">
        <v>0</v>
      </c>
      <c r="J30" s="19" t="e">
        <v>#DIV/0!</v>
      </c>
      <c r="K30" s="24">
        <v>0</v>
      </c>
      <c r="L30" s="6">
        <v>0</v>
      </c>
      <c r="M30" s="6">
        <v>0</v>
      </c>
      <c r="N30" s="19" t="e">
        <v>#DIV/0!</v>
      </c>
    </row>
    <row r="31" spans="2:14">
      <c r="B31" s="4" t="s">
        <v>42</v>
      </c>
      <c r="C31" s="5">
        <v>0</v>
      </c>
      <c r="D31" s="6">
        <v>0</v>
      </c>
      <c r="E31" s="6">
        <v>0</v>
      </c>
      <c r="F31" s="41">
        <v>0</v>
      </c>
      <c r="G31" s="5">
        <v>0</v>
      </c>
      <c r="H31" s="6">
        <v>0</v>
      </c>
      <c r="I31" s="6">
        <v>0</v>
      </c>
      <c r="J31" s="19" t="e">
        <v>#DIV/0!</v>
      </c>
      <c r="K31" s="24">
        <v>0</v>
      </c>
      <c r="L31" s="6">
        <v>0</v>
      </c>
      <c r="M31" s="6">
        <v>0</v>
      </c>
      <c r="N31" s="19" t="e">
        <v>#DIV/0!</v>
      </c>
    </row>
    <row r="32" spans="2:14">
      <c r="B32" s="4" t="s">
        <v>43</v>
      </c>
      <c r="C32" s="5">
        <v>163</v>
      </c>
      <c r="D32" s="6">
        <v>2087</v>
      </c>
      <c r="E32" s="6">
        <v>5871900</v>
      </c>
      <c r="F32" s="41">
        <v>9.9537368245337918E-2</v>
      </c>
      <c r="G32" s="5">
        <v>0</v>
      </c>
      <c r="H32" s="6">
        <v>0</v>
      </c>
      <c r="I32" s="6">
        <v>0</v>
      </c>
      <c r="J32" s="19" t="e">
        <v>#DIV/0!</v>
      </c>
      <c r="K32" s="24">
        <v>0</v>
      </c>
      <c r="L32" s="6">
        <v>0</v>
      </c>
      <c r="M32" s="6">
        <v>0</v>
      </c>
      <c r="N32" s="19" t="e">
        <v>#DIV/0!</v>
      </c>
    </row>
    <row r="33" spans="2:14">
      <c r="B33" s="4" t="s">
        <v>44</v>
      </c>
      <c r="C33" s="5">
        <v>2</v>
      </c>
      <c r="D33" s="6">
        <v>3300</v>
      </c>
      <c r="E33" s="6">
        <v>15504000</v>
      </c>
      <c r="F33" s="41">
        <v>0.1573901845757619</v>
      </c>
      <c r="G33" s="5">
        <v>0</v>
      </c>
      <c r="H33" s="6">
        <v>0</v>
      </c>
      <c r="I33" s="6">
        <v>0</v>
      </c>
      <c r="J33" s="19" t="e">
        <v>#DIV/0!</v>
      </c>
      <c r="K33" s="24">
        <v>0</v>
      </c>
      <c r="L33" s="6">
        <v>0</v>
      </c>
      <c r="M33" s="6">
        <v>0</v>
      </c>
      <c r="N33" s="19" t="e">
        <v>#DIV/0!</v>
      </c>
    </row>
    <row r="34" spans="2:14" ht="17.25" thickBot="1">
      <c r="B34" s="20" t="s">
        <v>45</v>
      </c>
      <c r="C34" s="8">
        <v>572</v>
      </c>
      <c r="D34" s="9">
        <v>20967</v>
      </c>
      <c r="E34" s="9">
        <v>64343500</v>
      </c>
      <c r="F34" s="42">
        <v>1</v>
      </c>
      <c r="G34" s="8">
        <v>0</v>
      </c>
      <c r="H34" s="9">
        <v>0</v>
      </c>
      <c r="I34" s="9">
        <v>0</v>
      </c>
      <c r="J34" s="21" t="e">
        <v>#DIV/0!</v>
      </c>
      <c r="K34" s="25">
        <v>0</v>
      </c>
      <c r="L34" s="9">
        <v>0</v>
      </c>
      <c r="M34" s="9">
        <v>0</v>
      </c>
      <c r="N34" s="21" t="e">
        <v>#DIV/0!</v>
      </c>
    </row>
    <row r="35" spans="2:14" ht="21" thickBot="1">
      <c r="B35" s="84" t="s">
        <v>19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85"/>
    </row>
    <row r="36" spans="2:14">
      <c r="B36" s="78" t="s">
        <v>1</v>
      </c>
      <c r="C36" s="69" t="s">
        <v>20</v>
      </c>
      <c r="D36" s="68"/>
      <c r="E36" s="68"/>
      <c r="F36" s="79"/>
      <c r="G36" s="69" t="s">
        <v>21</v>
      </c>
      <c r="H36" s="68"/>
      <c r="I36" s="68"/>
      <c r="J36" s="83"/>
      <c r="K36" s="67" t="s">
        <v>22</v>
      </c>
      <c r="L36" s="68"/>
      <c r="M36" s="68"/>
      <c r="N36" s="83"/>
    </row>
    <row r="37" spans="2:14">
      <c r="B37" s="70"/>
      <c r="C37" s="1" t="s">
        <v>5</v>
      </c>
      <c r="D37" s="2" t="s">
        <v>6</v>
      </c>
      <c r="E37" s="2" t="s">
        <v>7</v>
      </c>
      <c r="F37" s="22" t="s">
        <v>39</v>
      </c>
      <c r="G37" s="1" t="s">
        <v>5</v>
      </c>
      <c r="H37" s="2" t="s">
        <v>6</v>
      </c>
      <c r="I37" s="2" t="s">
        <v>7</v>
      </c>
      <c r="J37" s="3" t="s">
        <v>39</v>
      </c>
      <c r="K37" s="23" t="s">
        <v>5</v>
      </c>
      <c r="L37" s="2" t="s">
        <v>6</v>
      </c>
      <c r="M37" s="2" t="s">
        <v>7</v>
      </c>
      <c r="N37" s="3" t="s">
        <v>39</v>
      </c>
    </row>
    <row r="38" spans="2:14">
      <c r="B38" s="4" t="s">
        <v>40</v>
      </c>
      <c r="C38" s="5">
        <v>1576</v>
      </c>
      <c r="D38" s="6">
        <v>155636</v>
      </c>
      <c r="E38" s="6">
        <v>440591200</v>
      </c>
      <c r="F38" s="41">
        <v>0.16828970274975399</v>
      </c>
      <c r="G38" s="5">
        <v>2048</v>
      </c>
      <c r="H38" s="6">
        <v>206545</v>
      </c>
      <c r="I38" s="6">
        <v>598981600</v>
      </c>
      <c r="J38" s="19">
        <v>0.29387116876908326</v>
      </c>
      <c r="K38" s="24">
        <v>6</v>
      </c>
      <c r="L38" s="6">
        <v>481</v>
      </c>
      <c r="M38" s="6">
        <v>1174800</v>
      </c>
      <c r="N38" s="19">
        <v>2.2483990090216427E-2</v>
      </c>
    </row>
    <row r="39" spans="2:14">
      <c r="B39" s="4" t="s">
        <v>41</v>
      </c>
      <c r="C39" s="5">
        <v>8635</v>
      </c>
      <c r="D39" s="6">
        <v>324380</v>
      </c>
      <c r="E39" s="6">
        <v>885338900</v>
      </c>
      <c r="F39" s="41">
        <v>0.35075312766946726</v>
      </c>
      <c r="G39" s="5">
        <v>4424</v>
      </c>
      <c r="H39" s="6">
        <v>299466</v>
      </c>
      <c r="I39" s="6">
        <v>883992600</v>
      </c>
      <c r="J39" s="19">
        <v>0.42607869193929787</v>
      </c>
      <c r="K39" s="24">
        <v>391</v>
      </c>
      <c r="L39" s="6">
        <v>14029</v>
      </c>
      <c r="M39" s="6">
        <v>40349600</v>
      </c>
      <c r="N39" s="19">
        <v>0.65577525358762212</v>
      </c>
    </row>
    <row r="40" spans="2:14">
      <c r="B40" s="4" t="s">
        <v>42</v>
      </c>
      <c r="C40" s="5">
        <v>6907</v>
      </c>
      <c r="D40" s="6">
        <v>421148</v>
      </c>
      <c r="E40" s="6">
        <v>1222696200</v>
      </c>
      <c r="F40" s="41">
        <v>0.45538867443042352</v>
      </c>
      <c r="G40" s="5">
        <v>2166</v>
      </c>
      <c r="H40" s="6">
        <v>150737</v>
      </c>
      <c r="I40" s="6">
        <v>428768800</v>
      </c>
      <c r="J40" s="19">
        <v>0.21446783203052749</v>
      </c>
      <c r="K40" s="24">
        <v>21</v>
      </c>
      <c r="L40" s="6">
        <v>2008</v>
      </c>
      <c r="M40" s="6">
        <v>5759600</v>
      </c>
      <c r="N40" s="19">
        <v>9.3862478380778755E-2</v>
      </c>
    </row>
    <row r="41" spans="2:14">
      <c r="B41" s="4" t="s">
        <v>43</v>
      </c>
      <c r="C41" s="5">
        <v>1508</v>
      </c>
      <c r="D41" s="6">
        <v>20571</v>
      </c>
      <c r="E41" s="6">
        <v>58558100</v>
      </c>
      <c r="F41" s="41">
        <v>2.2243487851558698E-2</v>
      </c>
      <c r="G41" s="5">
        <v>1751</v>
      </c>
      <c r="H41" s="6">
        <v>31205</v>
      </c>
      <c r="I41" s="6">
        <v>95375000</v>
      </c>
      <c r="J41" s="19">
        <v>4.439831427262457E-2</v>
      </c>
      <c r="K41" s="24">
        <v>156</v>
      </c>
      <c r="L41" s="6">
        <v>4874</v>
      </c>
      <c r="M41" s="6">
        <v>12610500</v>
      </c>
      <c r="N41" s="19">
        <v>0.22783153367924086</v>
      </c>
    </row>
    <row r="42" spans="2:14">
      <c r="B42" s="4" t="s">
        <v>44</v>
      </c>
      <c r="C42" s="5">
        <v>6</v>
      </c>
      <c r="D42" s="6">
        <v>3075</v>
      </c>
      <c r="E42" s="6">
        <v>4952000</v>
      </c>
      <c r="F42" s="41">
        <v>3.3250072987965097E-3</v>
      </c>
      <c r="G42" s="5">
        <v>8</v>
      </c>
      <c r="H42" s="6">
        <v>14889</v>
      </c>
      <c r="I42" s="6">
        <v>168577348</v>
      </c>
      <c r="J42" s="19">
        <v>2.1183992988466824E-2</v>
      </c>
      <c r="K42" s="24">
        <v>1</v>
      </c>
      <c r="L42" s="6">
        <v>1</v>
      </c>
      <c r="M42" s="6">
        <v>10000</v>
      </c>
      <c r="N42" s="19">
        <v>4.6744262141822089E-5</v>
      </c>
    </row>
    <row r="43" spans="2:14" ht="17.25" thickBot="1">
      <c r="B43" s="20" t="s">
        <v>45</v>
      </c>
      <c r="C43" s="8">
        <v>18632</v>
      </c>
      <c r="D43" s="9">
        <v>924810</v>
      </c>
      <c r="E43" s="9">
        <v>2612136400</v>
      </c>
      <c r="F43" s="42">
        <v>1</v>
      </c>
      <c r="G43" s="8">
        <v>10397</v>
      </c>
      <c r="H43" s="9">
        <v>702842</v>
      </c>
      <c r="I43" s="9">
        <v>2175695348</v>
      </c>
      <c r="J43" s="21">
        <v>1</v>
      </c>
      <c r="K43" s="25">
        <v>575</v>
      </c>
      <c r="L43" s="9">
        <v>21393</v>
      </c>
      <c r="M43" s="9">
        <v>59904500</v>
      </c>
      <c r="N43" s="21">
        <v>0.99999999999999989</v>
      </c>
    </row>
    <row r="44" spans="2:14">
      <c r="B44" s="78" t="s">
        <v>1</v>
      </c>
      <c r="C44" s="69" t="s">
        <v>23</v>
      </c>
      <c r="D44" s="68"/>
      <c r="E44" s="68"/>
      <c r="F44" s="79"/>
      <c r="G44" s="69" t="s">
        <v>24</v>
      </c>
      <c r="H44" s="68"/>
      <c r="I44" s="68"/>
      <c r="J44" s="83"/>
      <c r="K44" s="67" t="s">
        <v>25</v>
      </c>
      <c r="L44" s="68"/>
      <c r="M44" s="68"/>
      <c r="N44" s="83"/>
    </row>
    <row r="45" spans="2:14">
      <c r="B45" s="70"/>
      <c r="C45" s="1" t="s">
        <v>5</v>
      </c>
      <c r="D45" s="2" t="s">
        <v>6</v>
      </c>
      <c r="E45" s="2" t="s">
        <v>7</v>
      </c>
      <c r="F45" s="22" t="s">
        <v>39</v>
      </c>
      <c r="G45" s="1" t="s">
        <v>5</v>
      </c>
      <c r="H45" s="2" t="s">
        <v>6</v>
      </c>
      <c r="I45" s="2" t="s">
        <v>7</v>
      </c>
      <c r="J45" s="3" t="s">
        <v>39</v>
      </c>
      <c r="K45" s="23" t="s">
        <v>5</v>
      </c>
      <c r="L45" s="2" t="s">
        <v>6</v>
      </c>
      <c r="M45" s="2" t="s">
        <v>7</v>
      </c>
      <c r="N45" s="3" t="s">
        <v>39</v>
      </c>
    </row>
    <row r="46" spans="2:14">
      <c r="B46" s="4" t="s">
        <v>40</v>
      </c>
      <c r="C46" s="5">
        <v>1917</v>
      </c>
      <c r="D46" s="6">
        <v>160560</v>
      </c>
      <c r="E46" s="6">
        <v>400967000</v>
      </c>
      <c r="F46" s="41">
        <v>0.27348214513835067</v>
      </c>
      <c r="G46" s="5">
        <v>1295</v>
      </c>
      <c r="H46" s="6">
        <v>85639</v>
      </c>
      <c r="I46" s="6">
        <v>230132000</v>
      </c>
      <c r="J46" s="19">
        <v>0.50412653935812002</v>
      </c>
      <c r="K46" s="24">
        <v>0</v>
      </c>
      <c r="L46" s="6">
        <v>0</v>
      </c>
      <c r="M46" s="6">
        <v>0</v>
      </c>
      <c r="N46" s="19" t="e">
        <v>#DIV/0!</v>
      </c>
    </row>
    <row r="47" spans="2:14">
      <c r="B47" s="4" t="s">
        <v>41</v>
      </c>
      <c r="C47" s="5">
        <v>4684</v>
      </c>
      <c r="D47" s="6">
        <v>196823</v>
      </c>
      <c r="E47" s="6">
        <v>501373300</v>
      </c>
      <c r="F47" s="41">
        <v>0.33524898014801691</v>
      </c>
      <c r="G47" s="5">
        <v>2458</v>
      </c>
      <c r="H47" s="6">
        <v>72469</v>
      </c>
      <c r="I47" s="6">
        <v>194557598</v>
      </c>
      <c r="J47" s="19">
        <v>0.42659940191669216</v>
      </c>
      <c r="K47" s="24">
        <v>0</v>
      </c>
      <c r="L47" s="6">
        <v>0</v>
      </c>
      <c r="M47" s="6">
        <v>0</v>
      </c>
      <c r="N47" s="19" t="e">
        <v>#DIV/0!</v>
      </c>
    </row>
    <row r="48" spans="2:14">
      <c r="B48" s="4" t="s">
        <v>42</v>
      </c>
      <c r="C48" s="5">
        <v>3759</v>
      </c>
      <c r="D48" s="6">
        <v>207986</v>
      </c>
      <c r="E48" s="6">
        <v>549491700</v>
      </c>
      <c r="F48" s="41">
        <v>0.35426293870668291</v>
      </c>
      <c r="G48" s="5">
        <v>52</v>
      </c>
      <c r="H48" s="6">
        <v>1847</v>
      </c>
      <c r="I48" s="6">
        <v>5308900</v>
      </c>
      <c r="J48" s="19">
        <v>1.0872636511337682E-2</v>
      </c>
      <c r="K48" s="24">
        <v>0</v>
      </c>
      <c r="L48" s="6">
        <v>0</v>
      </c>
      <c r="M48" s="6">
        <v>0</v>
      </c>
      <c r="N48" s="19" t="e">
        <v>#DIV/0!</v>
      </c>
    </row>
    <row r="49" spans="2:15">
      <c r="B49" s="4" t="s">
        <v>43</v>
      </c>
      <c r="C49" s="5">
        <v>1168</v>
      </c>
      <c r="D49" s="6">
        <v>21716</v>
      </c>
      <c r="E49" s="6">
        <v>61868300</v>
      </c>
      <c r="F49" s="41">
        <v>3.6988902988443095E-2</v>
      </c>
      <c r="G49" s="5">
        <v>770</v>
      </c>
      <c r="H49" s="6">
        <v>9764</v>
      </c>
      <c r="I49" s="6">
        <v>29222400</v>
      </c>
      <c r="J49" s="19">
        <v>5.7477218677152747E-2</v>
      </c>
      <c r="K49" s="24">
        <v>0</v>
      </c>
      <c r="L49" s="6">
        <v>0</v>
      </c>
      <c r="M49" s="6">
        <v>0</v>
      </c>
      <c r="N49" s="19" t="e">
        <v>#DIV/0!</v>
      </c>
    </row>
    <row r="50" spans="2:15">
      <c r="B50" s="4" t="s">
        <v>44</v>
      </c>
      <c r="C50" s="5">
        <v>1</v>
      </c>
      <c r="D50" s="6">
        <v>10</v>
      </c>
      <c r="E50" s="6">
        <v>190000</v>
      </c>
      <c r="F50" s="41">
        <v>1.7033018506374606E-5</v>
      </c>
      <c r="G50" s="5">
        <v>1</v>
      </c>
      <c r="H50" s="6">
        <v>157</v>
      </c>
      <c r="I50" s="6">
        <v>6825480</v>
      </c>
      <c r="J50" s="19">
        <v>9.2420353669735568E-4</v>
      </c>
      <c r="K50" s="24">
        <v>0</v>
      </c>
      <c r="L50" s="6">
        <v>0</v>
      </c>
      <c r="M50" s="6">
        <v>0</v>
      </c>
      <c r="N50" s="19" t="e">
        <v>#DIV/0!</v>
      </c>
    </row>
    <row r="51" spans="2:15" ht="17.25" thickBot="1">
      <c r="B51" s="20" t="s">
        <v>45</v>
      </c>
      <c r="C51" s="8">
        <v>11529</v>
      </c>
      <c r="D51" s="9">
        <v>587095</v>
      </c>
      <c r="E51" s="9">
        <v>1513890300</v>
      </c>
      <c r="F51" s="42">
        <v>1</v>
      </c>
      <c r="G51" s="8">
        <v>4576</v>
      </c>
      <c r="H51" s="9">
        <v>169876</v>
      </c>
      <c r="I51" s="9">
        <v>466046378</v>
      </c>
      <c r="J51" s="21">
        <v>0.99999999999999978</v>
      </c>
      <c r="K51" s="25">
        <v>0</v>
      </c>
      <c r="L51" s="9">
        <v>0</v>
      </c>
      <c r="M51" s="9">
        <v>0</v>
      </c>
      <c r="N51" s="21" t="e">
        <v>#DIV/0!</v>
      </c>
    </row>
    <row r="52" spans="2:15">
      <c r="B52" s="78" t="s">
        <v>1</v>
      </c>
      <c r="C52" s="69" t="s">
        <v>26</v>
      </c>
      <c r="D52" s="68"/>
      <c r="E52" s="68"/>
      <c r="F52" s="79"/>
      <c r="G52" s="69" t="s">
        <v>27</v>
      </c>
      <c r="H52" s="68"/>
      <c r="I52" s="68"/>
      <c r="J52" s="83"/>
      <c r="K52" s="67" t="s">
        <v>28</v>
      </c>
      <c r="L52" s="68"/>
      <c r="M52" s="68"/>
      <c r="N52" s="83"/>
    </row>
    <row r="53" spans="2:15">
      <c r="B53" s="70"/>
      <c r="C53" s="1" t="s">
        <v>5</v>
      </c>
      <c r="D53" s="2" t="s">
        <v>6</v>
      </c>
      <c r="E53" s="2" t="s">
        <v>7</v>
      </c>
      <c r="F53" s="22" t="s">
        <v>39</v>
      </c>
      <c r="G53" s="1" t="s">
        <v>5</v>
      </c>
      <c r="H53" s="2" t="s">
        <v>6</v>
      </c>
      <c r="I53" s="2" t="s">
        <v>7</v>
      </c>
      <c r="J53" s="3" t="s">
        <v>39</v>
      </c>
      <c r="K53" s="23" t="s">
        <v>5</v>
      </c>
      <c r="L53" s="2" t="s">
        <v>6</v>
      </c>
      <c r="M53" s="2" t="s">
        <v>7</v>
      </c>
      <c r="N53" s="3" t="s">
        <v>39</v>
      </c>
    </row>
    <row r="54" spans="2:15">
      <c r="B54" s="4" t="s">
        <v>40</v>
      </c>
      <c r="C54" s="5">
        <v>0</v>
      </c>
      <c r="D54" s="6">
        <v>0</v>
      </c>
      <c r="E54" s="6">
        <v>0</v>
      </c>
      <c r="F54" s="41" t="e">
        <v>#DIV/0!</v>
      </c>
      <c r="G54" s="5">
        <v>0</v>
      </c>
      <c r="H54" s="6">
        <v>0</v>
      </c>
      <c r="I54" s="6">
        <v>0</v>
      </c>
      <c r="J54" s="19" t="e">
        <v>#DIV/0!</v>
      </c>
      <c r="K54" s="24">
        <v>0</v>
      </c>
      <c r="L54" s="6">
        <v>0</v>
      </c>
      <c r="M54" s="6">
        <v>0</v>
      </c>
      <c r="N54" s="19" t="e">
        <v>#DIV/0!</v>
      </c>
      <c r="O54" s="26"/>
    </row>
    <row r="55" spans="2:15">
      <c r="B55" s="4" t="s">
        <v>41</v>
      </c>
      <c r="C55" s="5">
        <v>0</v>
      </c>
      <c r="D55" s="6">
        <v>0</v>
      </c>
      <c r="E55" s="6">
        <v>0</v>
      </c>
      <c r="F55" s="41" t="e">
        <v>#DIV/0!</v>
      </c>
      <c r="G55" s="5">
        <v>0</v>
      </c>
      <c r="H55" s="6">
        <v>0</v>
      </c>
      <c r="I55" s="6">
        <v>0</v>
      </c>
      <c r="J55" s="19" t="e">
        <v>#DIV/0!</v>
      </c>
      <c r="K55" s="24">
        <v>0</v>
      </c>
      <c r="L55" s="6">
        <v>0</v>
      </c>
      <c r="M55" s="6">
        <v>0</v>
      </c>
      <c r="N55" s="19" t="e">
        <v>#DIV/0!</v>
      </c>
      <c r="O55" s="26"/>
    </row>
    <row r="56" spans="2:15">
      <c r="B56" s="4" t="s">
        <v>42</v>
      </c>
      <c r="C56" s="5">
        <v>0</v>
      </c>
      <c r="D56" s="6">
        <v>0</v>
      </c>
      <c r="E56" s="6">
        <v>0</v>
      </c>
      <c r="F56" s="41" t="e">
        <v>#DIV/0!</v>
      </c>
      <c r="G56" s="5">
        <v>0</v>
      </c>
      <c r="H56" s="6">
        <v>0</v>
      </c>
      <c r="I56" s="6">
        <v>0</v>
      </c>
      <c r="J56" s="19" t="e">
        <v>#DIV/0!</v>
      </c>
      <c r="K56" s="24">
        <v>0</v>
      </c>
      <c r="L56" s="6">
        <v>0</v>
      </c>
      <c r="M56" s="6">
        <v>0</v>
      </c>
      <c r="N56" s="19" t="e">
        <v>#DIV/0!</v>
      </c>
      <c r="O56" s="26"/>
    </row>
    <row r="57" spans="2:15">
      <c r="B57" s="4" t="s">
        <v>43</v>
      </c>
      <c r="C57" s="5">
        <v>0</v>
      </c>
      <c r="D57" s="6">
        <v>0</v>
      </c>
      <c r="E57" s="6">
        <v>0</v>
      </c>
      <c r="F57" s="41" t="e">
        <v>#DIV/0!</v>
      </c>
      <c r="G57" s="5">
        <v>0</v>
      </c>
      <c r="H57" s="6">
        <v>0</v>
      </c>
      <c r="I57" s="6">
        <v>0</v>
      </c>
      <c r="J57" s="19" t="e">
        <v>#DIV/0!</v>
      </c>
      <c r="K57" s="24">
        <v>0</v>
      </c>
      <c r="L57" s="6">
        <v>0</v>
      </c>
      <c r="M57" s="6">
        <v>0</v>
      </c>
      <c r="N57" s="19" t="e">
        <v>#DIV/0!</v>
      </c>
      <c r="O57" s="26"/>
    </row>
    <row r="58" spans="2:15">
      <c r="B58" s="4" t="s">
        <v>44</v>
      </c>
      <c r="C58" s="5">
        <v>0</v>
      </c>
      <c r="D58" s="6">
        <v>0</v>
      </c>
      <c r="E58" s="6">
        <v>0</v>
      </c>
      <c r="F58" s="41" t="e">
        <v>#DIV/0!</v>
      </c>
      <c r="G58" s="5">
        <v>0</v>
      </c>
      <c r="H58" s="6">
        <v>0</v>
      </c>
      <c r="I58" s="6">
        <v>0</v>
      </c>
      <c r="J58" s="19" t="e">
        <v>#DIV/0!</v>
      </c>
      <c r="K58" s="24">
        <v>0</v>
      </c>
      <c r="L58" s="6">
        <v>0</v>
      </c>
      <c r="M58" s="6">
        <v>0</v>
      </c>
      <c r="N58" s="19" t="e">
        <v>#DIV/0!</v>
      </c>
      <c r="O58" s="26"/>
    </row>
    <row r="59" spans="2:15" ht="17.25" thickBot="1">
      <c r="B59" s="20" t="s">
        <v>45</v>
      </c>
      <c r="C59" s="8">
        <v>0</v>
      </c>
      <c r="D59" s="9">
        <v>0</v>
      </c>
      <c r="E59" s="9">
        <v>0</v>
      </c>
      <c r="F59" s="42" t="e">
        <v>#DIV/0!</v>
      </c>
      <c r="G59" s="8">
        <v>0</v>
      </c>
      <c r="H59" s="9">
        <v>0</v>
      </c>
      <c r="I59" s="9">
        <v>0</v>
      </c>
      <c r="J59" s="21" t="e">
        <v>#DIV/0!</v>
      </c>
      <c r="K59" s="25">
        <v>0</v>
      </c>
      <c r="L59" s="9">
        <v>0</v>
      </c>
      <c r="M59" s="9">
        <v>0</v>
      </c>
      <c r="N59" s="21" t="e">
        <v>#DIV/0!</v>
      </c>
    </row>
    <row r="60" spans="2:15">
      <c r="B60" s="78" t="s">
        <v>1</v>
      </c>
      <c r="C60" s="69" t="s">
        <v>47</v>
      </c>
      <c r="D60" s="68"/>
      <c r="E60" s="68"/>
      <c r="F60" s="79"/>
      <c r="G60" s="80" t="s">
        <v>46</v>
      </c>
      <c r="H60" s="81"/>
      <c r="I60" s="81"/>
      <c r="J60" s="82"/>
    </row>
    <row r="61" spans="2:15">
      <c r="B61" s="70"/>
      <c r="C61" s="1" t="s">
        <v>5</v>
      </c>
      <c r="D61" s="2" t="s">
        <v>6</v>
      </c>
      <c r="E61" s="2" t="s">
        <v>7</v>
      </c>
      <c r="F61" s="22" t="s">
        <v>39</v>
      </c>
      <c r="G61" s="1" t="s">
        <v>5</v>
      </c>
      <c r="H61" s="2" t="s">
        <v>6</v>
      </c>
      <c r="I61" s="2" t="s">
        <v>7</v>
      </c>
      <c r="J61" s="3" t="s">
        <v>39</v>
      </c>
    </row>
    <row r="62" spans="2:15">
      <c r="B62" s="4" t="s">
        <v>40</v>
      </c>
      <c r="C62" s="5">
        <v>0</v>
      </c>
      <c r="D62" s="6">
        <v>0</v>
      </c>
      <c r="E62" s="6">
        <v>0</v>
      </c>
      <c r="F62" s="41" t="e">
        <v>#DIV/0!</v>
      </c>
      <c r="G62" s="5">
        <v>91440</v>
      </c>
      <c r="H62" s="6">
        <v>7412704</v>
      </c>
      <c r="I62" s="6">
        <v>20115358530</v>
      </c>
      <c r="J62" s="30">
        <v>0.53045132598090183</v>
      </c>
    </row>
    <row r="63" spans="2:15">
      <c r="B63" s="4" t="s">
        <v>41</v>
      </c>
      <c r="C63" s="5">
        <v>0</v>
      </c>
      <c r="D63" s="6">
        <v>0</v>
      </c>
      <c r="E63" s="6">
        <v>0</v>
      </c>
      <c r="F63" s="41" t="e">
        <v>#DIV/0!</v>
      </c>
      <c r="G63" s="5">
        <v>90979</v>
      </c>
      <c r="H63" s="6">
        <v>3782439</v>
      </c>
      <c r="I63" s="6">
        <v>10261819296</v>
      </c>
      <c r="J63" s="30">
        <v>0.27067043051926482</v>
      </c>
    </row>
    <row r="64" spans="2:15">
      <c r="B64" s="4" t="s">
        <v>42</v>
      </c>
      <c r="C64" s="5">
        <v>0</v>
      </c>
      <c r="D64" s="6">
        <v>0</v>
      </c>
      <c r="E64" s="6">
        <v>0</v>
      </c>
      <c r="F64" s="41" t="e">
        <v>#DIV/0!</v>
      </c>
      <c r="G64" s="5">
        <v>28270</v>
      </c>
      <c r="H64" s="6">
        <v>1694519</v>
      </c>
      <c r="I64" s="6">
        <v>4461195160</v>
      </c>
      <c r="J64" s="30">
        <v>0.1212593745075794</v>
      </c>
    </row>
    <row r="65" spans="2:10">
      <c r="B65" s="4" t="s">
        <v>43</v>
      </c>
      <c r="C65" s="5">
        <v>0</v>
      </c>
      <c r="D65" s="6">
        <v>0</v>
      </c>
      <c r="E65" s="6">
        <v>0</v>
      </c>
      <c r="F65" s="41" t="e">
        <v>#DIV/0!</v>
      </c>
      <c r="G65" s="5">
        <v>24367</v>
      </c>
      <c r="H65" s="6">
        <v>427307</v>
      </c>
      <c r="I65" s="6">
        <v>1223487200</v>
      </c>
      <c r="J65" s="30">
        <v>3.0577986757723122E-2</v>
      </c>
    </row>
    <row r="66" spans="2:10">
      <c r="B66" s="4" t="s">
        <v>44</v>
      </c>
      <c r="C66" s="5">
        <v>0</v>
      </c>
      <c r="D66" s="6">
        <v>0</v>
      </c>
      <c r="E66" s="6">
        <v>0</v>
      </c>
      <c r="F66" s="41" t="e">
        <v>#DIV/0!</v>
      </c>
      <c r="G66" s="5">
        <v>350</v>
      </c>
      <c r="H66" s="6">
        <v>657365</v>
      </c>
      <c r="I66" s="6">
        <v>5914307337</v>
      </c>
      <c r="J66" s="30">
        <v>4.7040882234530818E-2</v>
      </c>
    </row>
    <row r="67" spans="2:10" ht="17.25" thickBot="1">
      <c r="B67" s="20" t="s">
        <v>45</v>
      </c>
      <c r="C67" s="8">
        <v>0</v>
      </c>
      <c r="D67" s="9">
        <v>0</v>
      </c>
      <c r="E67" s="9">
        <v>0</v>
      </c>
      <c r="F67" s="42" t="e">
        <v>#DIV/0!</v>
      </c>
      <c r="G67" s="8">
        <v>235406</v>
      </c>
      <c r="H67" s="9">
        <v>13974334</v>
      </c>
      <c r="I67" s="9">
        <v>41976167523</v>
      </c>
      <c r="J67" s="31">
        <v>1</v>
      </c>
    </row>
    <row r="69" spans="2:10">
      <c r="D69" s="28"/>
      <c r="E69" s="28"/>
    </row>
    <row r="70" spans="2:10">
      <c r="D70" s="29"/>
      <c r="E70" s="29"/>
    </row>
  </sheetData>
  <mergeCells count="34">
    <mergeCell ref="B1:N1"/>
    <mergeCell ref="B2:N2"/>
    <mergeCell ref="B3:B4"/>
    <mergeCell ref="C3:F3"/>
    <mergeCell ref="G3:J3"/>
    <mergeCell ref="K3:N3"/>
    <mergeCell ref="B36:B37"/>
    <mergeCell ref="C36:F36"/>
    <mergeCell ref="G36:J36"/>
    <mergeCell ref="K36:N36"/>
    <mergeCell ref="B11:B12"/>
    <mergeCell ref="C11:F11"/>
    <mergeCell ref="G11:J11"/>
    <mergeCell ref="K11:N11"/>
    <mergeCell ref="B19:B20"/>
    <mergeCell ref="C19:F19"/>
    <mergeCell ref="G19:J19"/>
    <mergeCell ref="K19:N19"/>
    <mergeCell ref="B27:B28"/>
    <mergeCell ref="C27:F27"/>
    <mergeCell ref="G27:J27"/>
    <mergeCell ref="K27:N27"/>
    <mergeCell ref="B35:N35"/>
    <mergeCell ref="K44:N44"/>
    <mergeCell ref="B52:B53"/>
    <mergeCell ref="C52:F52"/>
    <mergeCell ref="G52:J52"/>
    <mergeCell ref="K52:N52"/>
    <mergeCell ref="B60:B61"/>
    <mergeCell ref="C60:F60"/>
    <mergeCell ref="G60:J60"/>
    <mergeCell ref="B44:B45"/>
    <mergeCell ref="C44:F44"/>
    <mergeCell ref="G44:J4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A049-52FF-4858-960D-0263D9486B38}">
  <sheetPr>
    <tabColor theme="5" tint="0.79998168889431442"/>
  </sheetPr>
  <dimension ref="B1:O70"/>
  <sheetViews>
    <sheetView topLeftCell="A47" workbookViewId="0">
      <selection sqref="A1:XFD2"/>
    </sheetView>
  </sheetViews>
  <sheetFormatPr defaultRowHeight="16.5"/>
  <cols>
    <col min="2" max="2" width="13.25" customWidth="1"/>
    <col min="3" max="3" width="9.375" bestFit="1" customWidth="1"/>
    <col min="4" max="4" width="11.875" bestFit="1" customWidth="1"/>
    <col min="5" max="5" width="16.875" bestFit="1" customWidth="1"/>
    <col min="6" max="6" width="8.75" bestFit="1" customWidth="1"/>
    <col min="7" max="7" width="10.875" bestFit="1" customWidth="1"/>
    <col min="8" max="8" width="10.875" customWidth="1"/>
    <col min="9" max="9" width="14.625" bestFit="1" customWidth="1"/>
    <col min="10" max="10" width="8.75" bestFit="1" customWidth="1"/>
    <col min="11" max="11" width="9.125" bestFit="1" customWidth="1"/>
    <col min="12" max="12" width="11.625" customWidth="1"/>
    <col min="13" max="13" width="14.625" bestFit="1" customWidth="1"/>
    <col min="14" max="14" width="8" bestFit="1" customWidth="1"/>
  </cols>
  <sheetData>
    <row r="1" spans="2:14" ht="21" thickBot="1">
      <c r="B1" s="86" t="s">
        <v>51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8"/>
    </row>
    <row r="2" spans="2:14" ht="18.75" customHeight="1" thickBot="1">
      <c r="B2" s="84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3" spans="2:14" ht="18.75" customHeight="1">
      <c r="B3" s="78" t="s">
        <v>1</v>
      </c>
      <c r="C3" s="69" t="s">
        <v>2</v>
      </c>
      <c r="D3" s="68"/>
      <c r="E3" s="68"/>
      <c r="F3" s="79"/>
      <c r="G3" s="69" t="s">
        <v>3</v>
      </c>
      <c r="H3" s="68"/>
      <c r="I3" s="68"/>
      <c r="J3" s="83"/>
      <c r="K3" s="67" t="s">
        <v>4</v>
      </c>
      <c r="L3" s="68"/>
      <c r="M3" s="68"/>
      <c r="N3" s="83"/>
    </row>
    <row r="4" spans="2:14" ht="18.75" customHeight="1">
      <c r="B4" s="70"/>
      <c r="C4" s="1" t="s">
        <v>5</v>
      </c>
      <c r="D4" s="2" t="s">
        <v>6</v>
      </c>
      <c r="E4" s="2" t="s">
        <v>7</v>
      </c>
      <c r="F4" s="22" t="s">
        <v>39</v>
      </c>
      <c r="G4" s="1" t="s">
        <v>5</v>
      </c>
      <c r="H4" s="2" t="s">
        <v>6</v>
      </c>
      <c r="I4" s="2" t="s">
        <v>7</v>
      </c>
      <c r="J4" s="3" t="s">
        <v>39</v>
      </c>
      <c r="K4" s="23" t="s">
        <v>5</v>
      </c>
      <c r="L4" s="2" t="s">
        <v>6</v>
      </c>
      <c r="M4" s="2" t="s">
        <v>7</v>
      </c>
      <c r="N4" s="3" t="s">
        <v>39</v>
      </c>
    </row>
    <row r="5" spans="2:14" ht="18.75" customHeight="1">
      <c r="B5" s="4" t="s">
        <v>40</v>
      </c>
      <c r="C5" s="5">
        <v>23126</v>
      </c>
      <c r="D5" s="6">
        <v>1721726</v>
      </c>
      <c r="E5" s="6">
        <v>4325899330</v>
      </c>
      <c r="F5" s="41">
        <v>0.53174550229842033</v>
      </c>
      <c r="G5" s="5">
        <v>26745</v>
      </c>
      <c r="H5" s="6">
        <v>2198908</v>
      </c>
      <c r="I5" s="6">
        <v>5491344400</v>
      </c>
      <c r="J5" s="19">
        <v>0.61908163181993126</v>
      </c>
      <c r="K5" s="24">
        <v>25118</v>
      </c>
      <c r="L5" s="6">
        <v>1667725</v>
      </c>
      <c r="M5" s="6">
        <v>4349108300</v>
      </c>
      <c r="N5" s="19">
        <v>0.57671007344583336</v>
      </c>
    </row>
    <row r="6" spans="2:14" ht="18.75" customHeight="1">
      <c r="B6" s="4" t="s">
        <v>41</v>
      </c>
      <c r="C6" s="5">
        <v>23834</v>
      </c>
      <c r="D6" s="6">
        <v>964397</v>
      </c>
      <c r="E6" s="6">
        <v>2216518330</v>
      </c>
      <c r="F6" s="41">
        <v>0.29784865139986832</v>
      </c>
      <c r="G6" s="5">
        <v>18803</v>
      </c>
      <c r="H6" s="6">
        <v>891896</v>
      </c>
      <c r="I6" s="6">
        <v>2279929300</v>
      </c>
      <c r="J6" s="19">
        <v>0.25110483526080646</v>
      </c>
      <c r="K6" s="24">
        <v>14487</v>
      </c>
      <c r="L6" s="6">
        <v>518661</v>
      </c>
      <c r="M6" s="6">
        <v>1369169340</v>
      </c>
      <c r="N6" s="19">
        <v>0.17935632277713015</v>
      </c>
    </row>
    <row r="7" spans="2:14" ht="18.75" customHeight="1">
      <c r="B7" s="4" t="s">
        <v>42</v>
      </c>
      <c r="C7" s="5">
        <v>7455</v>
      </c>
      <c r="D7" s="6">
        <v>413327</v>
      </c>
      <c r="E7" s="6">
        <v>1049095570</v>
      </c>
      <c r="F7" s="41">
        <v>0.12765374585067496</v>
      </c>
      <c r="G7" s="5">
        <v>2533</v>
      </c>
      <c r="H7" s="6">
        <v>127831</v>
      </c>
      <c r="I7" s="6">
        <v>341194100</v>
      </c>
      <c r="J7" s="19">
        <v>3.5989602146689913E-2</v>
      </c>
      <c r="K7" s="24">
        <v>4601</v>
      </c>
      <c r="L7" s="6">
        <v>183633</v>
      </c>
      <c r="M7" s="6">
        <v>466755800</v>
      </c>
      <c r="N7" s="19">
        <v>6.3501477112280935E-2</v>
      </c>
    </row>
    <row r="8" spans="2:14" ht="18.75" customHeight="1">
      <c r="B8" s="4" t="s">
        <v>43</v>
      </c>
      <c r="C8" s="5">
        <v>2559</v>
      </c>
      <c r="D8" s="6">
        <v>63898</v>
      </c>
      <c r="E8" s="6">
        <v>158042800</v>
      </c>
      <c r="F8" s="41">
        <v>1.9734542026933706E-2</v>
      </c>
      <c r="G8" s="5">
        <v>13392</v>
      </c>
      <c r="H8" s="6">
        <v>173566</v>
      </c>
      <c r="I8" s="6">
        <v>505669100</v>
      </c>
      <c r="J8" s="19">
        <v>4.8865856374372268E-2</v>
      </c>
      <c r="K8" s="24">
        <v>7707</v>
      </c>
      <c r="L8" s="6">
        <v>56435</v>
      </c>
      <c r="M8" s="6">
        <v>146061700</v>
      </c>
      <c r="N8" s="19">
        <v>1.9515587398951029E-2</v>
      </c>
    </row>
    <row r="9" spans="2:14" ht="18.75" customHeight="1">
      <c r="B9" s="4" t="s">
        <v>44</v>
      </c>
      <c r="C9" s="5">
        <v>45</v>
      </c>
      <c r="D9" s="6">
        <v>74528</v>
      </c>
      <c r="E9" s="6">
        <v>620956166</v>
      </c>
      <c r="F9" s="41">
        <v>2.3017558424102715E-2</v>
      </c>
      <c r="G9" s="5">
        <v>132</v>
      </c>
      <c r="H9" s="6">
        <v>159686</v>
      </c>
      <c r="I9" s="6">
        <v>1367867507</v>
      </c>
      <c r="J9" s="19">
        <v>4.4958074398200168E-2</v>
      </c>
      <c r="K9" s="24">
        <v>198</v>
      </c>
      <c r="L9" s="6">
        <v>465337</v>
      </c>
      <c r="M9" s="6">
        <v>2288921994</v>
      </c>
      <c r="N9" s="19">
        <v>0.16091653926580449</v>
      </c>
    </row>
    <row r="10" spans="2:14" ht="18.75" customHeight="1" thickBot="1">
      <c r="B10" s="20" t="s">
        <v>45</v>
      </c>
      <c r="C10" s="8">
        <v>57019</v>
      </c>
      <c r="D10" s="9">
        <v>3237876</v>
      </c>
      <c r="E10" s="9">
        <v>8370512196</v>
      </c>
      <c r="F10" s="42">
        <v>1.0000000000000002</v>
      </c>
      <c r="G10" s="8">
        <v>61605</v>
      </c>
      <c r="H10" s="9">
        <v>3551887</v>
      </c>
      <c r="I10" s="9">
        <v>9986004407</v>
      </c>
      <c r="J10" s="21">
        <v>1</v>
      </c>
      <c r="K10" s="25">
        <v>52111</v>
      </c>
      <c r="L10" s="9">
        <v>2891791</v>
      </c>
      <c r="M10" s="9">
        <v>8620017134</v>
      </c>
      <c r="N10" s="21">
        <v>0.99999999999999989</v>
      </c>
    </row>
    <row r="11" spans="2:14" ht="18.75" customHeight="1">
      <c r="B11" s="71" t="s">
        <v>1</v>
      </c>
      <c r="C11" s="69" t="s">
        <v>11</v>
      </c>
      <c r="D11" s="68"/>
      <c r="E11" s="68"/>
      <c r="F11" s="79"/>
      <c r="G11" s="69" t="s">
        <v>37</v>
      </c>
      <c r="H11" s="68"/>
      <c r="I11" s="68"/>
      <c r="J11" s="83"/>
      <c r="K11" s="67" t="s">
        <v>12</v>
      </c>
      <c r="L11" s="68"/>
      <c r="M11" s="68"/>
      <c r="N11" s="83"/>
    </row>
    <row r="12" spans="2:14" ht="18.75" customHeight="1">
      <c r="B12" s="70"/>
      <c r="C12" s="1" t="s">
        <v>5</v>
      </c>
      <c r="D12" s="2" t="s">
        <v>6</v>
      </c>
      <c r="E12" s="2" t="s">
        <v>7</v>
      </c>
      <c r="F12" s="22" t="s">
        <v>39</v>
      </c>
      <c r="G12" s="1" t="s">
        <v>5</v>
      </c>
      <c r="H12" s="2" t="s">
        <v>6</v>
      </c>
      <c r="I12" s="2" t="s">
        <v>7</v>
      </c>
      <c r="J12" s="3" t="s">
        <v>39</v>
      </c>
      <c r="K12" s="23" t="s">
        <v>5</v>
      </c>
      <c r="L12" s="2" t="s">
        <v>6</v>
      </c>
      <c r="M12" s="2" t="s">
        <v>7</v>
      </c>
      <c r="N12" s="3" t="s">
        <v>39</v>
      </c>
    </row>
    <row r="13" spans="2:14" ht="18.75" customHeight="1">
      <c r="B13" s="4" t="s">
        <v>40</v>
      </c>
      <c r="C13" s="5">
        <v>12900</v>
      </c>
      <c r="D13" s="6">
        <v>953692</v>
      </c>
      <c r="E13" s="6">
        <v>2451503500</v>
      </c>
      <c r="F13" s="41">
        <v>0.70726313494400139</v>
      </c>
      <c r="G13" s="5">
        <v>6733</v>
      </c>
      <c r="H13" s="6">
        <v>540057</v>
      </c>
      <c r="I13" s="6">
        <v>1380992600</v>
      </c>
      <c r="J13" s="19">
        <v>0.61249354964927105</v>
      </c>
      <c r="K13" s="24">
        <v>8252</v>
      </c>
      <c r="L13" s="6">
        <v>636777</v>
      </c>
      <c r="M13" s="6">
        <v>1655960500</v>
      </c>
      <c r="N13" s="19">
        <v>0.68362514775017147</v>
      </c>
    </row>
    <row r="14" spans="2:14" ht="18.75" customHeight="1">
      <c r="B14" s="4" t="s">
        <v>41</v>
      </c>
      <c r="C14" s="5">
        <v>7714</v>
      </c>
      <c r="D14" s="6">
        <v>253878</v>
      </c>
      <c r="E14" s="6">
        <v>711380686</v>
      </c>
      <c r="F14" s="41">
        <v>0.18827729515746508</v>
      </c>
      <c r="G14" s="5">
        <v>6438</v>
      </c>
      <c r="H14" s="6">
        <v>236076</v>
      </c>
      <c r="I14" s="6">
        <v>570931100</v>
      </c>
      <c r="J14" s="19">
        <v>0.26774030746199257</v>
      </c>
      <c r="K14" s="24">
        <v>4834</v>
      </c>
      <c r="L14" s="6">
        <v>141516</v>
      </c>
      <c r="M14" s="6">
        <v>379086200</v>
      </c>
      <c r="N14" s="19">
        <v>0.1519274352073226</v>
      </c>
    </row>
    <row r="15" spans="2:14" ht="18.75" customHeight="1">
      <c r="B15" s="4" t="s">
        <v>42</v>
      </c>
      <c r="C15" s="5">
        <v>1456</v>
      </c>
      <c r="D15" s="6">
        <v>52112</v>
      </c>
      <c r="E15" s="6">
        <v>137466200</v>
      </c>
      <c r="F15" s="41">
        <v>3.8646540484980264E-2</v>
      </c>
      <c r="G15" s="5">
        <v>1771</v>
      </c>
      <c r="H15" s="6">
        <v>83556</v>
      </c>
      <c r="I15" s="6">
        <v>218608200</v>
      </c>
      <c r="J15" s="19">
        <v>9.4763165803784577E-2</v>
      </c>
      <c r="K15" s="24">
        <v>1741</v>
      </c>
      <c r="L15" s="6">
        <v>68843</v>
      </c>
      <c r="M15" s="6">
        <v>180062800</v>
      </c>
      <c r="N15" s="19">
        <v>7.3907829658679661E-2</v>
      </c>
    </row>
    <row r="16" spans="2:14" ht="18.75" customHeight="1">
      <c r="B16" s="4" t="s">
        <v>43</v>
      </c>
      <c r="C16" s="5">
        <v>2051</v>
      </c>
      <c r="D16" s="6">
        <v>55364</v>
      </c>
      <c r="E16" s="6">
        <v>149099200</v>
      </c>
      <c r="F16" s="41">
        <v>4.1058241238303025E-2</v>
      </c>
      <c r="G16" s="5">
        <v>1052</v>
      </c>
      <c r="H16" s="6">
        <v>15015</v>
      </c>
      <c r="I16" s="6">
        <v>40878700</v>
      </c>
      <c r="J16" s="19">
        <v>1.7028925924455759E-2</v>
      </c>
      <c r="K16" s="24">
        <v>985</v>
      </c>
      <c r="L16" s="6">
        <v>23075</v>
      </c>
      <c r="M16" s="6">
        <v>61259000</v>
      </c>
      <c r="N16" s="19">
        <v>2.4772644558982513E-2</v>
      </c>
    </row>
    <row r="17" spans="2:14" ht="18.75" customHeight="1">
      <c r="B17" s="4" t="s">
        <v>44</v>
      </c>
      <c r="C17" s="5">
        <v>47</v>
      </c>
      <c r="D17" s="6">
        <v>33380</v>
      </c>
      <c r="E17" s="6">
        <v>296442958</v>
      </c>
      <c r="F17" s="41">
        <v>2.4754788175250255E-2</v>
      </c>
      <c r="G17" s="5">
        <v>5</v>
      </c>
      <c r="H17" s="6">
        <v>7031</v>
      </c>
      <c r="I17" s="6">
        <v>31273436</v>
      </c>
      <c r="J17" s="19">
        <v>7.9740511604960672E-3</v>
      </c>
      <c r="K17" s="24">
        <v>26</v>
      </c>
      <c r="L17" s="6">
        <v>61260</v>
      </c>
      <c r="M17" s="6">
        <v>222634622</v>
      </c>
      <c r="N17" s="19">
        <v>6.5766942824843716E-2</v>
      </c>
    </row>
    <row r="18" spans="2:14" ht="18.75" customHeight="1" thickBot="1">
      <c r="B18" s="20" t="s">
        <v>45</v>
      </c>
      <c r="C18" s="8">
        <v>24168</v>
      </c>
      <c r="D18" s="9">
        <v>1348426</v>
      </c>
      <c r="E18" s="9">
        <v>3745892544</v>
      </c>
      <c r="F18" s="42">
        <v>1</v>
      </c>
      <c r="G18" s="8">
        <v>15999</v>
      </c>
      <c r="H18" s="9">
        <v>881735</v>
      </c>
      <c r="I18" s="9">
        <v>2242684036</v>
      </c>
      <c r="J18" s="21">
        <v>1</v>
      </c>
      <c r="K18" s="25">
        <v>15838</v>
      </c>
      <c r="L18" s="9">
        <v>931471</v>
      </c>
      <c r="M18" s="9">
        <v>2499003122</v>
      </c>
      <c r="N18" s="21">
        <v>1</v>
      </c>
    </row>
    <row r="19" spans="2:14" ht="18.75" customHeight="1">
      <c r="B19" s="78" t="s">
        <v>1</v>
      </c>
      <c r="C19" s="69" t="s">
        <v>13</v>
      </c>
      <c r="D19" s="68"/>
      <c r="E19" s="68"/>
      <c r="F19" s="79"/>
      <c r="G19" s="69" t="s">
        <v>14</v>
      </c>
      <c r="H19" s="68"/>
      <c r="I19" s="68"/>
      <c r="J19" s="83"/>
      <c r="K19" s="67" t="s">
        <v>15</v>
      </c>
      <c r="L19" s="68"/>
      <c r="M19" s="68"/>
      <c r="N19" s="83"/>
    </row>
    <row r="20" spans="2:14" ht="18.75" customHeight="1">
      <c r="B20" s="70"/>
      <c r="C20" s="1" t="s">
        <v>5</v>
      </c>
      <c r="D20" s="2" t="s">
        <v>6</v>
      </c>
      <c r="E20" s="2" t="s">
        <v>7</v>
      </c>
      <c r="F20" s="22" t="s">
        <v>39</v>
      </c>
      <c r="G20" s="1" t="s">
        <v>5</v>
      </c>
      <c r="H20" s="2" t="s">
        <v>6</v>
      </c>
      <c r="I20" s="2" t="s">
        <v>7</v>
      </c>
      <c r="J20" s="3" t="s">
        <v>39</v>
      </c>
      <c r="K20" s="23" t="s">
        <v>5</v>
      </c>
      <c r="L20" s="2" t="s">
        <v>6</v>
      </c>
      <c r="M20" s="2" t="s">
        <v>7</v>
      </c>
      <c r="N20" s="3" t="s">
        <v>39</v>
      </c>
    </row>
    <row r="21" spans="2:14" ht="18.75" customHeight="1">
      <c r="B21" s="4" t="s">
        <v>40</v>
      </c>
      <c r="C21" s="5">
        <v>6967</v>
      </c>
      <c r="D21" s="6">
        <v>544797</v>
      </c>
      <c r="E21" s="6">
        <v>1399140700</v>
      </c>
      <c r="F21" s="41">
        <v>0.56063378310515444</v>
      </c>
      <c r="G21" s="5">
        <v>8916</v>
      </c>
      <c r="H21" s="6">
        <v>593016</v>
      </c>
      <c r="I21" s="6">
        <v>1463125400</v>
      </c>
      <c r="J21" s="19">
        <v>0.66827966016698648</v>
      </c>
      <c r="K21" s="24">
        <v>7846</v>
      </c>
      <c r="L21" s="6">
        <v>553408</v>
      </c>
      <c r="M21" s="6">
        <v>1413307300</v>
      </c>
      <c r="N21" s="19">
        <v>0.81142012597797142</v>
      </c>
    </row>
    <row r="22" spans="2:14" ht="18.75" customHeight="1">
      <c r="B22" s="4" t="s">
        <v>41</v>
      </c>
      <c r="C22" s="5">
        <v>11148</v>
      </c>
      <c r="D22" s="6">
        <v>345046</v>
      </c>
      <c r="E22" s="6">
        <v>829925200</v>
      </c>
      <c r="F22" s="41">
        <v>0.35507619227951165</v>
      </c>
      <c r="G22" s="5">
        <v>6358</v>
      </c>
      <c r="H22" s="6">
        <v>191745</v>
      </c>
      <c r="I22" s="6">
        <v>459868000</v>
      </c>
      <c r="J22" s="19">
        <v>0.21608065117757166</v>
      </c>
      <c r="K22" s="24">
        <v>3086</v>
      </c>
      <c r="L22" s="6">
        <v>89476</v>
      </c>
      <c r="M22" s="6">
        <v>234756300</v>
      </c>
      <c r="N22" s="19">
        <v>0.13119186421592202</v>
      </c>
    </row>
    <row r="23" spans="2:14" ht="18.75" customHeight="1">
      <c r="B23" s="4" t="s">
        <v>42</v>
      </c>
      <c r="C23" s="5">
        <v>1083</v>
      </c>
      <c r="D23" s="6">
        <v>27917</v>
      </c>
      <c r="E23" s="6">
        <v>73145800</v>
      </c>
      <c r="F23" s="41">
        <v>2.8728523326939384E-2</v>
      </c>
      <c r="G23" s="5">
        <v>581</v>
      </c>
      <c r="H23" s="6">
        <v>21890</v>
      </c>
      <c r="I23" s="6">
        <v>56360000</v>
      </c>
      <c r="J23" s="19">
        <v>2.4668207537495337E-2</v>
      </c>
      <c r="K23" s="24">
        <v>618</v>
      </c>
      <c r="L23" s="6">
        <v>20527</v>
      </c>
      <c r="M23" s="6">
        <v>54198600</v>
      </c>
      <c r="N23" s="19">
        <v>3.0097181330862258E-2</v>
      </c>
    </row>
    <row r="24" spans="2:14" ht="18.75" customHeight="1">
      <c r="B24" s="4" t="s">
        <v>43</v>
      </c>
      <c r="C24" s="5">
        <v>1303</v>
      </c>
      <c r="D24" s="6">
        <v>20287</v>
      </c>
      <c r="E24" s="6">
        <v>53931500</v>
      </c>
      <c r="F24" s="41">
        <v>2.0876725748956524E-2</v>
      </c>
      <c r="G24" s="5">
        <v>2618</v>
      </c>
      <c r="H24" s="6">
        <v>24282</v>
      </c>
      <c r="I24" s="6">
        <v>67802400</v>
      </c>
      <c r="J24" s="19">
        <v>2.7363792390381992E-2</v>
      </c>
      <c r="K24" s="24">
        <v>892</v>
      </c>
      <c r="L24" s="6">
        <v>15112</v>
      </c>
      <c r="M24" s="6">
        <v>41134600</v>
      </c>
      <c r="N24" s="19">
        <v>2.2157578032444607E-2</v>
      </c>
    </row>
    <row r="25" spans="2:14">
      <c r="B25" s="4" t="s">
        <v>44</v>
      </c>
      <c r="C25" s="5">
        <v>35</v>
      </c>
      <c r="D25" s="6">
        <v>33705</v>
      </c>
      <c r="E25" s="6">
        <v>225423871</v>
      </c>
      <c r="F25" s="41">
        <v>3.4684775539438044E-2</v>
      </c>
      <c r="G25" s="5">
        <v>35</v>
      </c>
      <c r="H25" s="6">
        <v>56444</v>
      </c>
      <c r="I25" s="6">
        <v>332744430</v>
      </c>
      <c r="J25" s="19">
        <v>6.360768872756449E-2</v>
      </c>
      <c r="K25" s="24">
        <v>4</v>
      </c>
      <c r="L25" s="6">
        <v>3501</v>
      </c>
      <c r="M25" s="6">
        <v>43968560</v>
      </c>
      <c r="N25" s="19">
        <v>5.1332504427996665E-3</v>
      </c>
    </row>
    <row r="26" spans="2:14" ht="17.25" thickBot="1">
      <c r="B26" s="20" t="s">
        <v>45</v>
      </c>
      <c r="C26" s="8">
        <v>20536</v>
      </c>
      <c r="D26" s="9">
        <v>971752</v>
      </c>
      <c r="E26" s="9">
        <v>2581567071</v>
      </c>
      <c r="F26" s="42">
        <v>1</v>
      </c>
      <c r="G26" s="8">
        <v>18508</v>
      </c>
      <c r="H26" s="9">
        <v>887377</v>
      </c>
      <c r="I26" s="9">
        <v>2379900230</v>
      </c>
      <c r="J26" s="21">
        <v>1</v>
      </c>
      <c r="K26" s="25">
        <v>12446</v>
      </c>
      <c r="L26" s="9">
        <v>682024</v>
      </c>
      <c r="M26" s="9">
        <v>1787365360</v>
      </c>
      <c r="N26" s="21">
        <v>0.99999999999999989</v>
      </c>
    </row>
    <row r="27" spans="2:14">
      <c r="B27" s="78" t="s">
        <v>1</v>
      </c>
      <c r="C27" s="69" t="s">
        <v>16</v>
      </c>
      <c r="D27" s="68"/>
      <c r="E27" s="68"/>
      <c r="F27" s="79"/>
      <c r="G27" s="69" t="s">
        <v>17</v>
      </c>
      <c r="H27" s="68"/>
      <c r="I27" s="68"/>
      <c r="J27" s="83"/>
      <c r="K27" s="67" t="s">
        <v>18</v>
      </c>
      <c r="L27" s="68"/>
      <c r="M27" s="68"/>
      <c r="N27" s="83"/>
    </row>
    <row r="28" spans="2:14">
      <c r="B28" s="70"/>
      <c r="C28" s="1" t="s">
        <v>5</v>
      </c>
      <c r="D28" s="2" t="s">
        <v>6</v>
      </c>
      <c r="E28" s="2" t="s">
        <v>7</v>
      </c>
      <c r="F28" s="22" t="s">
        <v>39</v>
      </c>
      <c r="G28" s="1" t="s">
        <v>5</v>
      </c>
      <c r="H28" s="2" t="s">
        <v>6</v>
      </c>
      <c r="I28" s="2" t="s">
        <v>7</v>
      </c>
      <c r="J28" s="3" t="s">
        <v>39</v>
      </c>
      <c r="K28" s="23" t="s">
        <v>5</v>
      </c>
      <c r="L28" s="2" t="s">
        <v>6</v>
      </c>
      <c r="M28" s="2" t="s">
        <v>7</v>
      </c>
      <c r="N28" s="3" t="s">
        <v>39</v>
      </c>
    </row>
    <row r="29" spans="2:14">
      <c r="B29" s="4" t="s">
        <v>40</v>
      </c>
      <c r="C29" s="5">
        <v>3730</v>
      </c>
      <c r="D29" s="6">
        <v>255003</v>
      </c>
      <c r="E29" s="6">
        <v>670421400</v>
      </c>
      <c r="F29" s="41">
        <v>0.58581382366522172</v>
      </c>
      <c r="G29" s="5">
        <v>2199</v>
      </c>
      <c r="H29" s="6">
        <v>165384</v>
      </c>
      <c r="I29" s="6">
        <v>415392500</v>
      </c>
      <c r="J29" s="19">
        <v>0.54604885199786046</v>
      </c>
      <c r="K29" s="24">
        <v>0</v>
      </c>
      <c r="L29" s="6">
        <v>0</v>
      </c>
      <c r="M29" s="6">
        <v>0</v>
      </c>
      <c r="N29" s="19" t="e">
        <v>#DIV/0!</v>
      </c>
    </row>
    <row r="30" spans="2:14">
      <c r="B30" s="4" t="s">
        <v>41</v>
      </c>
      <c r="C30" s="5">
        <v>3192</v>
      </c>
      <c r="D30" s="6">
        <v>115985</v>
      </c>
      <c r="E30" s="6">
        <v>305913804</v>
      </c>
      <c r="F30" s="41">
        <v>0.26645026269420646</v>
      </c>
      <c r="G30" s="5">
        <v>2127</v>
      </c>
      <c r="H30" s="6">
        <v>56147</v>
      </c>
      <c r="I30" s="6">
        <v>133056900</v>
      </c>
      <c r="J30" s="19">
        <v>0.18538071937505365</v>
      </c>
      <c r="K30" s="24">
        <v>0</v>
      </c>
      <c r="L30" s="6">
        <v>0</v>
      </c>
      <c r="M30" s="6">
        <v>0</v>
      </c>
      <c r="N30" s="19" t="e">
        <v>#DIV/0!</v>
      </c>
    </row>
    <row r="31" spans="2:14">
      <c r="B31" s="4" t="s">
        <v>42</v>
      </c>
      <c r="C31" s="5">
        <v>782</v>
      </c>
      <c r="D31" s="6">
        <v>29884</v>
      </c>
      <c r="E31" s="6">
        <v>76953200</v>
      </c>
      <c r="F31" s="41">
        <v>6.8651977845011564E-2</v>
      </c>
      <c r="G31" s="5">
        <v>135</v>
      </c>
      <c r="H31" s="6">
        <v>4801</v>
      </c>
      <c r="I31" s="6">
        <v>12027500</v>
      </c>
      <c r="J31" s="19">
        <v>1.5851476191419533E-2</v>
      </c>
      <c r="K31" s="24">
        <v>0</v>
      </c>
      <c r="L31" s="6">
        <v>0</v>
      </c>
      <c r="M31" s="6">
        <v>0</v>
      </c>
      <c r="N31" s="19" t="e">
        <v>#DIV/0!</v>
      </c>
    </row>
    <row r="32" spans="2:14">
      <c r="B32" s="4" t="s">
        <v>43</v>
      </c>
      <c r="C32" s="5">
        <v>438</v>
      </c>
      <c r="D32" s="6">
        <v>6913</v>
      </c>
      <c r="E32" s="6">
        <v>19727600</v>
      </c>
      <c r="F32" s="41">
        <v>1.5881111057507863E-2</v>
      </c>
      <c r="G32" s="5">
        <v>1108</v>
      </c>
      <c r="H32" s="6">
        <v>11977</v>
      </c>
      <c r="I32" s="6">
        <v>29485100</v>
      </c>
      <c r="J32" s="19">
        <v>3.9544497051579204E-2</v>
      </c>
      <c r="K32" s="24">
        <v>0</v>
      </c>
      <c r="L32" s="6">
        <v>0</v>
      </c>
      <c r="M32" s="6">
        <v>0</v>
      </c>
      <c r="N32" s="19" t="e">
        <v>#DIV/0!</v>
      </c>
    </row>
    <row r="33" spans="2:14">
      <c r="B33" s="4" t="s">
        <v>44</v>
      </c>
      <c r="C33" s="5">
        <v>5</v>
      </c>
      <c r="D33" s="6">
        <v>27512</v>
      </c>
      <c r="E33" s="6">
        <v>167088725</v>
      </c>
      <c r="F33" s="41">
        <v>6.3202824738052416E-2</v>
      </c>
      <c r="G33" s="5">
        <v>29</v>
      </c>
      <c r="H33" s="6">
        <v>64565</v>
      </c>
      <c r="I33" s="6">
        <v>183993571</v>
      </c>
      <c r="J33" s="19">
        <v>0.21317445538408711</v>
      </c>
      <c r="K33" s="24">
        <v>0</v>
      </c>
      <c r="L33" s="6">
        <v>0</v>
      </c>
      <c r="M33" s="6">
        <v>0</v>
      </c>
      <c r="N33" s="19" t="e">
        <v>#DIV/0!</v>
      </c>
    </row>
    <row r="34" spans="2:14" ht="17.25" thickBot="1">
      <c r="B34" s="20" t="s">
        <v>45</v>
      </c>
      <c r="C34" s="8">
        <v>8147</v>
      </c>
      <c r="D34" s="9">
        <v>435297</v>
      </c>
      <c r="E34" s="9">
        <v>1240104729</v>
      </c>
      <c r="F34" s="42">
        <v>1</v>
      </c>
      <c r="G34" s="8">
        <v>5598</v>
      </c>
      <c r="H34" s="9">
        <v>302874</v>
      </c>
      <c r="I34" s="9">
        <v>773955571</v>
      </c>
      <c r="J34" s="21">
        <v>1</v>
      </c>
      <c r="K34" s="25">
        <v>0</v>
      </c>
      <c r="L34" s="9">
        <v>0</v>
      </c>
      <c r="M34" s="9">
        <v>0</v>
      </c>
      <c r="N34" s="21" t="e">
        <v>#DIV/0!</v>
      </c>
    </row>
    <row r="35" spans="2:14" ht="21" thickBot="1">
      <c r="B35" s="84" t="s">
        <v>19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85"/>
    </row>
    <row r="36" spans="2:14">
      <c r="B36" s="78" t="s">
        <v>1</v>
      </c>
      <c r="C36" s="69" t="s">
        <v>20</v>
      </c>
      <c r="D36" s="68"/>
      <c r="E36" s="68"/>
      <c r="F36" s="79"/>
      <c r="G36" s="69" t="s">
        <v>21</v>
      </c>
      <c r="H36" s="68"/>
      <c r="I36" s="68"/>
      <c r="J36" s="83"/>
      <c r="K36" s="67" t="s">
        <v>22</v>
      </c>
      <c r="L36" s="68"/>
      <c r="M36" s="68"/>
      <c r="N36" s="83"/>
    </row>
    <row r="37" spans="2:14">
      <c r="B37" s="70"/>
      <c r="C37" s="1" t="s">
        <v>5</v>
      </c>
      <c r="D37" s="2" t="s">
        <v>6</v>
      </c>
      <c r="E37" s="2" t="s">
        <v>7</v>
      </c>
      <c r="F37" s="22" t="s">
        <v>39</v>
      </c>
      <c r="G37" s="1" t="s">
        <v>5</v>
      </c>
      <c r="H37" s="2" t="s">
        <v>6</v>
      </c>
      <c r="I37" s="2" t="s">
        <v>7</v>
      </c>
      <c r="J37" s="3" t="s">
        <v>39</v>
      </c>
      <c r="K37" s="23" t="s">
        <v>5</v>
      </c>
      <c r="L37" s="2" t="s">
        <v>6</v>
      </c>
      <c r="M37" s="2" t="s">
        <v>7</v>
      </c>
      <c r="N37" s="3" t="s">
        <v>39</v>
      </c>
    </row>
    <row r="38" spans="2:14">
      <c r="B38" s="4" t="s">
        <v>40</v>
      </c>
      <c r="C38" s="5">
        <v>2414</v>
      </c>
      <c r="D38" s="6">
        <v>199646</v>
      </c>
      <c r="E38" s="6">
        <v>530818600</v>
      </c>
      <c r="F38" s="41">
        <v>0.17637335891747966</v>
      </c>
      <c r="G38" s="5">
        <v>3077</v>
      </c>
      <c r="H38" s="6">
        <v>304105</v>
      </c>
      <c r="I38" s="6">
        <v>832567500</v>
      </c>
      <c r="J38" s="19">
        <v>0.31993809652061206</v>
      </c>
      <c r="K38" s="24">
        <v>1097</v>
      </c>
      <c r="L38" s="6">
        <v>82124</v>
      </c>
      <c r="M38" s="6">
        <v>205526300</v>
      </c>
      <c r="N38" s="19">
        <v>0.12232574420388617</v>
      </c>
    </row>
    <row r="39" spans="2:14">
      <c r="B39" s="4" t="s">
        <v>41</v>
      </c>
      <c r="C39" s="5">
        <v>10912</v>
      </c>
      <c r="D39" s="6">
        <v>464888</v>
      </c>
      <c r="E39" s="6">
        <v>1208548955</v>
      </c>
      <c r="F39" s="41">
        <v>0.41069622271635431</v>
      </c>
      <c r="G39" s="5">
        <v>6965</v>
      </c>
      <c r="H39" s="6">
        <v>462141</v>
      </c>
      <c r="I39" s="6">
        <v>1216621884</v>
      </c>
      <c r="J39" s="19">
        <v>0.48620217314457892</v>
      </c>
      <c r="K39" s="24">
        <v>5851</v>
      </c>
      <c r="L39" s="6">
        <v>188696</v>
      </c>
      <c r="M39" s="6">
        <v>473505100</v>
      </c>
      <c r="N39" s="19">
        <v>0.28106739355482568</v>
      </c>
    </row>
    <row r="40" spans="2:14">
      <c r="B40" s="4" t="s">
        <v>42</v>
      </c>
      <c r="C40" s="5">
        <v>8344</v>
      </c>
      <c r="D40" s="6">
        <v>447839</v>
      </c>
      <c r="E40" s="6">
        <v>1214936800</v>
      </c>
      <c r="F40" s="41">
        <v>0.39563461669277206</v>
      </c>
      <c r="G40" s="5">
        <v>1879</v>
      </c>
      <c r="H40" s="6">
        <v>126556</v>
      </c>
      <c r="I40" s="6">
        <v>338598400</v>
      </c>
      <c r="J40" s="19">
        <v>0.13314508391267021</v>
      </c>
      <c r="K40" s="24">
        <v>5865</v>
      </c>
      <c r="L40" s="6">
        <v>329740</v>
      </c>
      <c r="M40" s="6">
        <v>852241500</v>
      </c>
      <c r="N40" s="19">
        <v>0.49115594581108357</v>
      </c>
    </row>
    <row r="41" spans="2:14">
      <c r="B41" s="4" t="s">
        <v>43</v>
      </c>
      <c r="C41" s="5">
        <v>784</v>
      </c>
      <c r="D41" s="6">
        <v>11552</v>
      </c>
      <c r="E41" s="6">
        <v>31343800</v>
      </c>
      <c r="F41" s="41">
        <v>1.0205388749159636E-2</v>
      </c>
      <c r="G41" s="5">
        <v>806</v>
      </c>
      <c r="H41" s="6">
        <v>30554</v>
      </c>
      <c r="I41" s="6">
        <v>82633200</v>
      </c>
      <c r="J41" s="19">
        <v>3.2144780918073629E-2</v>
      </c>
      <c r="K41" s="24">
        <v>1206</v>
      </c>
      <c r="L41" s="6">
        <v>21951</v>
      </c>
      <c r="M41" s="6">
        <v>58443400</v>
      </c>
      <c r="N41" s="19">
        <v>3.2696561431731351E-2</v>
      </c>
    </row>
    <row r="42" spans="2:14">
      <c r="B42" s="4" t="s">
        <v>44</v>
      </c>
      <c r="C42" s="5">
        <v>6</v>
      </c>
      <c r="D42" s="6">
        <v>8026</v>
      </c>
      <c r="E42" s="6">
        <v>28418330</v>
      </c>
      <c r="F42" s="41">
        <v>7.090412924234353E-3</v>
      </c>
      <c r="G42" s="5">
        <v>5</v>
      </c>
      <c r="H42" s="6">
        <v>27156</v>
      </c>
      <c r="I42" s="6">
        <v>132378343</v>
      </c>
      <c r="J42" s="19">
        <v>2.8569865504065178E-2</v>
      </c>
      <c r="K42" s="24">
        <v>24</v>
      </c>
      <c r="L42" s="6">
        <v>48844</v>
      </c>
      <c r="M42" s="6">
        <v>204072932</v>
      </c>
      <c r="N42" s="19">
        <v>7.2754354998473242E-2</v>
      </c>
    </row>
    <row r="43" spans="2:14" ht="17.25" thickBot="1">
      <c r="B43" s="20" t="s">
        <v>45</v>
      </c>
      <c r="C43" s="8">
        <v>22460</v>
      </c>
      <c r="D43" s="9">
        <v>1131951</v>
      </c>
      <c r="E43" s="9">
        <v>3014066485</v>
      </c>
      <c r="F43" s="42">
        <v>1</v>
      </c>
      <c r="G43" s="8">
        <v>12732</v>
      </c>
      <c r="H43" s="9">
        <v>950512</v>
      </c>
      <c r="I43" s="9">
        <v>2602799327</v>
      </c>
      <c r="J43" s="21">
        <v>0.99999999999999989</v>
      </c>
      <c r="K43" s="25">
        <v>14043</v>
      </c>
      <c r="L43" s="9">
        <v>671355</v>
      </c>
      <c r="M43" s="9">
        <v>1793789232</v>
      </c>
      <c r="N43" s="21">
        <v>1</v>
      </c>
    </row>
    <row r="44" spans="2:14">
      <c r="B44" s="78" t="s">
        <v>1</v>
      </c>
      <c r="C44" s="69" t="s">
        <v>23</v>
      </c>
      <c r="D44" s="68"/>
      <c r="E44" s="68"/>
      <c r="F44" s="79"/>
      <c r="G44" s="69" t="s">
        <v>24</v>
      </c>
      <c r="H44" s="68"/>
      <c r="I44" s="68"/>
      <c r="J44" s="83"/>
      <c r="K44" s="67" t="s">
        <v>25</v>
      </c>
      <c r="L44" s="68"/>
      <c r="M44" s="68"/>
      <c r="N44" s="83"/>
    </row>
    <row r="45" spans="2:14">
      <c r="B45" s="70"/>
      <c r="C45" s="1" t="s">
        <v>5</v>
      </c>
      <c r="D45" s="2" t="s">
        <v>6</v>
      </c>
      <c r="E45" s="2" t="s">
        <v>7</v>
      </c>
      <c r="F45" s="22" t="s">
        <v>39</v>
      </c>
      <c r="G45" s="1" t="s">
        <v>5</v>
      </c>
      <c r="H45" s="2" t="s">
        <v>6</v>
      </c>
      <c r="I45" s="2" t="s">
        <v>7</v>
      </c>
      <c r="J45" s="3" t="s">
        <v>39</v>
      </c>
      <c r="K45" s="23" t="s">
        <v>5</v>
      </c>
      <c r="L45" s="2" t="s">
        <v>6</v>
      </c>
      <c r="M45" s="2" t="s">
        <v>7</v>
      </c>
      <c r="N45" s="3" t="s">
        <v>39</v>
      </c>
    </row>
    <row r="46" spans="2:14">
      <c r="B46" s="4" t="s">
        <v>40</v>
      </c>
      <c r="C46" s="5">
        <v>2748</v>
      </c>
      <c r="D46" s="6">
        <v>220329</v>
      </c>
      <c r="E46" s="6">
        <v>550966000</v>
      </c>
      <c r="F46" s="41">
        <v>0.24413537258708437</v>
      </c>
      <c r="G46" s="5">
        <v>2003</v>
      </c>
      <c r="H46" s="6">
        <v>152695</v>
      </c>
      <c r="I46" s="6">
        <v>382444100</v>
      </c>
      <c r="J46" s="19">
        <v>0.49537055060276924</v>
      </c>
      <c r="K46" s="24">
        <v>1314</v>
      </c>
      <c r="L46" s="6">
        <v>97155</v>
      </c>
      <c r="M46" s="6">
        <v>258553800</v>
      </c>
      <c r="N46" s="19">
        <v>0.37739330399282156</v>
      </c>
    </row>
    <row r="47" spans="2:14">
      <c r="B47" s="4" t="s">
        <v>41</v>
      </c>
      <c r="C47" s="5">
        <v>6545</v>
      </c>
      <c r="D47" s="6">
        <v>317015</v>
      </c>
      <c r="E47" s="6">
        <v>729880500</v>
      </c>
      <c r="F47" s="41">
        <v>0.35126821771393935</v>
      </c>
      <c r="G47" s="5">
        <v>4106</v>
      </c>
      <c r="H47" s="6">
        <v>129812</v>
      </c>
      <c r="I47" s="6">
        <v>329060000</v>
      </c>
      <c r="J47" s="19">
        <v>0.42113390690491947</v>
      </c>
      <c r="K47" s="24">
        <v>1479</v>
      </c>
      <c r="L47" s="6">
        <v>58403</v>
      </c>
      <c r="M47" s="6">
        <v>147701400</v>
      </c>
      <c r="N47" s="19">
        <v>0.22686327140232368</v>
      </c>
    </row>
    <row r="48" spans="2:14">
      <c r="B48" s="4" t="s">
        <v>42</v>
      </c>
      <c r="C48" s="5">
        <v>6005</v>
      </c>
      <c r="D48" s="6">
        <v>338256</v>
      </c>
      <c r="E48" s="6">
        <v>877528200</v>
      </c>
      <c r="F48" s="41">
        <v>0.3748042908097291</v>
      </c>
      <c r="G48" s="5">
        <v>538</v>
      </c>
      <c r="H48" s="6">
        <v>6644</v>
      </c>
      <c r="I48" s="6">
        <v>16258400</v>
      </c>
      <c r="J48" s="19">
        <v>2.1554353044990333E-2</v>
      </c>
      <c r="K48" s="24">
        <v>1598</v>
      </c>
      <c r="L48" s="6">
        <v>97276</v>
      </c>
      <c r="M48" s="6">
        <v>268456500</v>
      </c>
      <c r="N48" s="19">
        <v>0.37786332190011535</v>
      </c>
    </row>
    <row r="49" spans="2:15">
      <c r="B49" s="4" t="s">
        <v>43</v>
      </c>
      <c r="C49" s="5">
        <v>1367</v>
      </c>
      <c r="D49" s="6">
        <v>22872</v>
      </c>
      <c r="E49" s="6">
        <v>59307200</v>
      </c>
      <c r="F49" s="41">
        <v>2.5343301343952875E-2</v>
      </c>
      <c r="G49" s="5">
        <v>912</v>
      </c>
      <c r="H49" s="6">
        <v>18393</v>
      </c>
      <c r="I49" s="6">
        <v>49295800</v>
      </c>
      <c r="J49" s="19">
        <v>5.967026122162962E-2</v>
      </c>
      <c r="K49" s="24">
        <v>206</v>
      </c>
      <c r="L49" s="6">
        <v>4603</v>
      </c>
      <c r="M49" s="6">
        <v>11790700</v>
      </c>
      <c r="N49" s="19">
        <v>1.7880102704739411E-2</v>
      </c>
    </row>
    <row r="50" spans="2:15">
      <c r="B50" s="4" t="s">
        <v>44</v>
      </c>
      <c r="C50" s="5">
        <v>3</v>
      </c>
      <c r="D50" s="6">
        <v>4015</v>
      </c>
      <c r="E50" s="6">
        <v>95000360</v>
      </c>
      <c r="F50" s="41">
        <v>4.448817545294281E-3</v>
      </c>
      <c r="G50" s="5">
        <v>1</v>
      </c>
      <c r="H50" s="6">
        <v>700</v>
      </c>
      <c r="I50" s="6">
        <v>2100000</v>
      </c>
      <c r="J50" s="19">
        <v>2.2709282256913356E-3</v>
      </c>
      <c r="K50" s="24">
        <v>0</v>
      </c>
      <c r="L50" s="6">
        <v>0</v>
      </c>
      <c r="M50" s="6">
        <v>0</v>
      </c>
      <c r="N50" s="19">
        <v>0</v>
      </c>
    </row>
    <row r="51" spans="2:15" ht="17.25" thickBot="1">
      <c r="B51" s="20" t="s">
        <v>45</v>
      </c>
      <c r="C51" s="8">
        <v>16668</v>
      </c>
      <c r="D51" s="9">
        <v>902487</v>
      </c>
      <c r="E51" s="9">
        <v>2312682260</v>
      </c>
      <c r="F51" s="42">
        <v>1</v>
      </c>
      <c r="G51" s="8">
        <v>7560</v>
      </c>
      <c r="H51" s="9">
        <v>308244</v>
      </c>
      <c r="I51" s="9">
        <v>779158300</v>
      </c>
      <c r="J51" s="21">
        <v>1</v>
      </c>
      <c r="K51" s="25">
        <v>4597</v>
      </c>
      <c r="L51" s="9">
        <v>257437</v>
      </c>
      <c r="M51" s="9">
        <v>686502400</v>
      </c>
      <c r="N51" s="21">
        <v>0.99999999999999989</v>
      </c>
    </row>
    <row r="52" spans="2:15">
      <c r="B52" s="78" t="s">
        <v>1</v>
      </c>
      <c r="C52" s="69" t="s">
        <v>26</v>
      </c>
      <c r="D52" s="68"/>
      <c r="E52" s="68"/>
      <c r="F52" s="79"/>
      <c r="G52" s="69" t="s">
        <v>27</v>
      </c>
      <c r="H52" s="68"/>
      <c r="I52" s="68"/>
      <c r="J52" s="83"/>
      <c r="K52" s="67" t="s">
        <v>28</v>
      </c>
      <c r="L52" s="68"/>
      <c r="M52" s="68"/>
      <c r="N52" s="83"/>
    </row>
    <row r="53" spans="2:15">
      <c r="B53" s="70"/>
      <c r="C53" s="1" t="s">
        <v>5</v>
      </c>
      <c r="D53" s="2" t="s">
        <v>6</v>
      </c>
      <c r="E53" s="2" t="s">
        <v>7</v>
      </c>
      <c r="F53" s="22" t="s">
        <v>39</v>
      </c>
      <c r="G53" s="1" t="s">
        <v>5</v>
      </c>
      <c r="H53" s="2" t="s">
        <v>6</v>
      </c>
      <c r="I53" s="2" t="s">
        <v>7</v>
      </c>
      <c r="J53" s="3" t="s">
        <v>39</v>
      </c>
      <c r="K53" s="23" t="s">
        <v>5</v>
      </c>
      <c r="L53" s="2" t="s">
        <v>6</v>
      </c>
      <c r="M53" s="2" t="s">
        <v>7</v>
      </c>
      <c r="N53" s="3" t="s">
        <v>39</v>
      </c>
    </row>
    <row r="54" spans="2:15">
      <c r="B54" s="4" t="s">
        <v>40</v>
      </c>
      <c r="C54" s="5">
        <v>235</v>
      </c>
      <c r="D54" s="6">
        <v>16854</v>
      </c>
      <c r="E54" s="6">
        <v>44054000</v>
      </c>
      <c r="F54" s="41">
        <v>0.33968196384303767</v>
      </c>
      <c r="G54" s="5">
        <v>0</v>
      </c>
      <c r="H54" s="6">
        <v>0</v>
      </c>
      <c r="I54" s="6">
        <v>0</v>
      </c>
      <c r="J54" s="19" t="e">
        <v>#DIV/0!</v>
      </c>
      <c r="K54" s="24">
        <v>0</v>
      </c>
      <c r="L54" s="6">
        <v>0</v>
      </c>
      <c r="M54" s="6">
        <v>0</v>
      </c>
      <c r="N54" s="19" t="e">
        <v>#DIV/0!</v>
      </c>
      <c r="O54" s="26"/>
    </row>
    <row r="55" spans="2:15">
      <c r="B55" s="4" t="s">
        <v>41</v>
      </c>
      <c r="C55" s="5">
        <v>574</v>
      </c>
      <c r="D55" s="6">
        <v>22878</v>
      </c>
      <c r="E55" s="6">
        <v>58780700</v>
      </c>
      <c r="F55" s="41">
        <v>0.46109196444766914</v>
      </c>
      <c r="G55" s="5">
        <v>0</v>
      </c>
      <c r="H55" s="6">
        <v>0</v>
      </c>
      <c r="I55" s="6">
        <v>0</v>
      </c>
      <c r="J55" s="19" t="e">
        <v>#DIV/0!</v>
      </c>
      <c r="K55" s="24">
        <v>0</v>
      </c>
      <c r="L55" s="6">
        <v>0</v>
      </c>
      <c r="M55" s="6">
        <v>0</v>
      </c>
      <c r="N55" s="19" t="e">
        <v>#DIV/0!</v>
      </c>
      <c r="O55" s="26"/>
    </row>
    <row r="56" spans="2:15">
      <c r="B56" s="4" t="s">
        <v>42</v>
      </c>
      <c r="C56" s="5">
        <v>170</v>
      </c>
      <c r="D56" s="6">
        <v>6562</v>
      </c>
      <c r="E56" s="6">
        <v>18246300</v>
      </c>
      <c r="F56" s="41">
        <v>0.13225305842755508</v>
      </c>
      <c r="G56" s="5">
        <v>0</v>
      </c>
      <c r="H56" s="6">
        <v>0</v>
      </c>
      <c r="I56" s="6">
        <v>0</v>
      </c>
      <c r="J56" s="19" t="e">
        <v>#DIV/0!</v>
      </c>
      <c r="K56" s="24">
        <v>0</v>
      </c>
      <c r="L56" s="6">
        <v>0</v>
      </c>
      <c r="M56" s="6">
        <v>0</v>
      </c>
      <c r="N56" s="19" t="e">
        <v>#DIV/0!</v>
      </c>
      <c r="O56" s="26"/>
    </row>
    <row r="57" spans="2:15">
      <c r="B57" s="4" t="s">
        <v>43</v>
      </c>
      <c r="C57" s="5">
        <v>119</v>
      </c>
      <c r="D57" s="6">
        <v>3323</v>
      </c>
      <c r="E57" s="6">
        <v>9383600</v>
      </c>
      <c r="F57" s="41">
        <v>6.6973013281738117E-2</v>
      </c>
      <c r="G57" s="5">
        <v>0</v>
      </c>
      <c r="H57" s="6">
        <v>0</v>
      </c>
      <c r="I57" s="6">
        <v>0</v>
      </c>
      <c r="J57" s="19" t="e">
        <v>#DIV/0!</v>
      </c>
      <c r="K57" s="24">
        <v>0</v>
      </c>
      <c r="L57" s="6">
        <v>0</v>
      </c>
      <c r="M57" s="6">
        <v>0</v>
      </c>
      <c r="N57" s="19" t="e">
        <v>#DIV/0!</v>
      </c>
      <c r="O57" s="26"/>
    </row>
    <row r="58" spans="2:15">
      <c r="B58" s="4" t="s">
        <v>44</v>
      </c>
      <c r="C58" s="5">
        <v>0</v>
      </c>
      <c r="D58" s="6">
        <v>0</v>
      </c>
      <c r="E58" s="6">
        <v>0</v>
      </c>
      <c r="F58" s="41">
        <v>0</v>
      </c>
      <c r="G58" s="5">
        <v>0</v>
      </c>
      <c r="H58" s="6">
        <v>0</v>
      </c>
      <c r="I58" s="6">
        <v>0</v>
      </c>
      <c r="J58" s="19" t="e">
        <v>#DIV/0!</v>
      </c>
      <c r="K58" s="24">
        <v>0</v>
      </c>
      <c r="L58" s="6">
        <v>0</v>
      </c>
      <c r="M58" s="6">
        <v>0</v>
      </c>
      <c r="N58" s="19" t="e">
        <v>#DIV/0!</v>
      </c>
      <c r="O58" s="26"/>
    </row>
    <row r="59" spans="2:15" ht="17.25" thickBot="1">
      <c r="B59" s="20" t="s">
        <v>45</v>
      </c>
      <c r="C59" s="8">
        <v>1098</v>
      </c>
      <c r="D59" s="9">
        <v>49617</v>
      </c>
      <c r="E59" s="9">
        <v>130464600</v>
      </c>
      <c r="F59" s="42">
        <v>1</v>
      </c>
      <c r="G59" s="8">
        <v>0</v>
      </c>
      <c r="H59" s="9">
        <v>0</v>
      </c>
      <c r="I59" s="9">
        <v>0</v>
      </c>
      <c r="J59" s="21" t="e">
        <v>#DIV/0!</v>
      </c>
      <c r="K59" s="25">
        <v>0</v>
      </c>
      <c r="L59" s="9">
        <v>0</v>
      </c>
      <c r="M59" s="9">
        <v>0</v>
      </c>
      <c r="N59" s="21" t="e">
        <v>#DIV/0!</v>
      </c>
    </row>
    <row r="60" spans="2:15">
      <c r="B60" s="78" t="s">
        <v>1</v>
      </c>
      <c r="C60" s="69" t="s">
        <v>47</v>
      </c>
      <c r="D60" s="68"/>
      <c r="E60" s="68"/>
      <c r="F60" s="79"/>
      <c r="G60" s="80" t="s">
        <v>46</v>
      </c>
      <c r="H60" s="81"/>
      <c r="I60" s="81"/>
      <c r="J60" s="82"/>
    </row>
    <row r="61" spans="2:15">
      <c r="B61" s="70"/>
      <c r="C61" s="1" t="s">
        <v>5</v>
      </c>
      <c r="D61" s="2" t="s">
        <v>6</v>
      </c>
      <c r="E61" s="2" t="s">
        <v>7</v>
      </c>
      <c r="F61" s="22" t="s">
        <v>39</v>
      </c>
      <c r="G61" s="1" t="s">
        <v>5</v>
      </c>
      <c r="H61" s="2" t="s">
        <v>6</v>
      </c>
      <c r="I61" s="2" t="s">
        <v>7</v>
      </c>
      <c r="J61" s="3" t="s">
        <v>39</v>
      </c>
    </row>
    <row r="62" spans="2:15">
      <c r="B62" s="4" t="s">
        <v>40</v>
      </c>
      <c r="C62" s="5">
        <v>0</v>
      </c>
      <c r="D62" s="6">
        <v>0</v>
      </c>
      <c r="E62" s="6">
        <v>0</v>
      </c>
      <c r="F62" s="41" t="e">
        <v>#DIV/0!</v>
      </c>
      <c r="G62" s="5">
        <v>145420</v>
      </c>
      <c r="H62" s="6">
        <v>10903401</v>
      </c>
      <c r="I62" s="6">
        <v>27821126230</v>
      </c>
      <c r="J62" s="30">
        <v>0.53463472522683386</v>
      </c>
    </row>
    <row r="63" spans="2:15">
      <c r="B63" s="4" t="s">
        <v>41</v>
      </c>
      <c r="C63" s="5">
        <v>0</v>
      </c>
      <c r="D63" s="6">
        <v>0</v>
      </c>
      <c r="E63" s="6">
        <v>0</v>
      </c>
      <c r="F63" s="41" t="e">
        <v>#DIV/0!</v>
      </c>
      <c r="G63" s="5">
        <v>138453</v>
      </c>
      <c r="H63" s="6">
        <v>5448656</v>
      </c>
      <c r="I63" s="6">
        <v>13654633699</v>
      </c>
      <c r="J63" s="30">
        <v>0.26716807933740488</v>
      </c>
    </row>
    <row r="64" spans="2:15">
      <c r="B64" s="4" t="s">
        <v>42</v>
      </c>
      <c r="C64" s="5">
        <v>0</v>
      </c>
      <c r="D64" s="6">
        <v>0</v>
      </c>
      <c r="E64" s="6">
        <v>0</v>
      </c>
      <c r="F64" s="41" t="e">
        <v>#DIV/0!</v>
      </c>
      <c r="G64" s="5">
        <v>47155</v>
      </c>
      <c r="H64" s="6">
        <v>2387194</v>
      </c>
      <c r="I64" s="6">
        <v>6252133870</v>
      </c>
      <c r="J64" s="30">
        <v>0.11705309272337561</v>
      </c>
    </row>
    <row r="65" spans="2:10">
      <c r="B65" s="4" t="s">
        <v>43</v>
      </c>
      <c r="C65" s="5">
        <v>0</v>
      </c>
      <c r="D65" s="6">
        <v>0</v>
      </c>
      <c r="E65" s="6">
        <v>0</v>
      </c>
      <c r="F65" s="41" t="e">
        <v>#DIV/0!</v>
      </c>
      <c r="G65" s="5">
        <v>39505</v>
      </c>
      <c r="H65" s="6">
        <v>579172</v>
      </c>
      <c r="I65" s="6">
        <v>1575289400</v>
      </c>
      <c r="J65" s="30">
        <v>2.8398979646724522E-2</v>
      </c>
    </row>
    <row r="66" spans="2:10">
      <c r="B66" s="4" t="s">
        <v>44</v>
      </c>
      <c r="C66" s="5">
        <v>0</v>
      </c>
      <c r="D66" s="6">
        <v>0</v>
      </c>
      <c r="E66" s="6">
        <v>0</v>
      </c>
      <c r="F66" s="41" t="e">
        <v>#DIV/0!</v>
      </c>
      <c r="G66" s="5">
        <v>600</v>
      </c>
      <c r="H66" s="6">
        <v>1075690</v>
      </c>
      <c r="I66" s="6">
        <v>6243285805</v>
      </c>
      <c r="J66" s="30">
        <v>5.2745123065661155E-2</v>
      </c>
    </row>
    <row r="67" spans="2:10" ht="17.25" thickBot="1">
      <c r="B67" s="20" t="s">
        <v>45</v>
      </c>
      <c r="C67" s="8">
        <v>0</v>
      </c>
      <c r="D67" s="9">
        <v>0</v>
      </c>
      <c r="E67" s="9">
        <v>0</v>
      </c>
      <c r="F67" s="42" t="e">
        <v>#DIV/0!</v>
      </c>
      <c r="G67" s="8">
        <v>371133</v>
      </c>
      <c r="H67" s="9">
        <v>20394113</v>
      </c>
      <c r="I67" s="9">
        <v>55546469004</v>
      </c>
      <c r="J67" s="31">
        <v>1</v>
      </c>
    </row>
    <row r="69" spans="2:10">
      <c r="D69" s="28"/>
      <c r="E69" s="28"/>
    </row>
    <row r="70" spans="2:10">
      <c r="D70" s="29"/>
      <c r="E70" s="29"/>
    </row>
  </sheetData>
  <mergeCells count="34">
    <mergeCell ref="B1:N1"/>
    <mergeCell ref="B2:N2"/>
    <mergeCell ref="B3:B4"/>
    <mergeCell ref="C3:F3"/>
    <mergeCell ref="G3:J3"/>
    <mergeCell ref="K3:N3"/>
    <mergeCell ref="B36:B37"/>
    <mergeCell ref="C36:F36"/>
    <mergeCell ref="G36:J36"/>
    <mergeCell ref="K36:N36"/>
    <mergeCell ref="B11:B12"/>
    <mergeCell ref="C11:F11"/>
    <mergeCell ref="G11:J11"/>
    <mergeCell ref="K11:N11"/>
    <mergeCell ref="B19:B20"/>
    <mergeCell ref="C19:F19"/>
    <mergeCell ref="G19:J19"/>
    <mergeCell ref="K19:N19"/>
    <mergeCell ref="B27:B28"/>
    <mergeCell ref="C27:F27"/>
    <mergeCell ref="G27:J27"/>
    <mergeCell ref="K27:N27"/>
    <mergeCell ref="B35:N35"/>
    <mergeCell ref="K44:N44"/>
    <mergeCell ref="B52:B53"/>
    <mergeCell ref="C52:F52"/>
    <mergeCell ref="G52:J52"/>
    <mergeCell ref="K52:N52"/>
    <mergeCell ref="B60:B61"/>
    <mergeCell ref="C60:F60"/>
    <mergeCell ref="G60:J60"/>
    <mergeCell ref="B44:B45"/>
    <mergeCell ref="C44:F44"/>
    <mergeCell ref="G44:J4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7DBE-79A1-4FEA-A7AB-C6D6A0A09B07}">
  <sheetPr>
    <tabColor theme="5" tint="0.79998168889431442"/>
  </sheetPr>
  <dimension ref="B1:O70"/>
  <sheetViews>
    <sheetView topLeftCell="A57" workbookViewId="0">
      <selection activeCell="F22" sqref="F22"/>
    </sheetView>
  </sheetViews>
  <sheetFormatPr defaultRowHeight="16.5"/>
  <cols>
    <col min="2" max="2" width="13.25" customWidth="1"/>
    <col min="3" max="3" width="9.375" bestFit="1" customWidth="1"/>
    <col min="4" max="4" width="11.875" bestFit="1" customWidth="1"/>
    <col min="5" max="5" width="16.875" bestFit="1" customWidth="1"/>
    <col min="6" max="6" width="8.75" bestFit="1" customWidth="1"/>
    <col min="7" max="7" width="10.875" bestFit="1" customWidth="1"/>
    <col min="8" max="8" width="10.875" customWidth="1"/>
    <col min="9" max="9" width="14.625" bestFit="1" customWidth="1"/>
    <col min="10" max="10" width="8.75" bestFit="1" customWidth="1"/>
    <col min="11" max="11" width="9.125" bestFit="1" customWidth="1"/>
    <col min="12" max="12" width="11.625" customWidth="1"/>
    <col min="13" max="13" width="14.625" bestFit="1" customWidth="1"/>
    <col min="14" max="14" width="8" bestFit="1" customWidth="1"/>
  </cols>
  <sheetData>
    <row r="1" spans="2:14" ht="21" thickBot="1">
      <c r="B1" s="86" t="s">
        <v>52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8"/>
    </row>
    <row r="2" spans="2:14" ht="18.75" customHeight="1" thickBot="1">
      <c r="B2" s="84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3" spans="2:14" ht="18.75" customHeight="1">
      <c r="B3" s="78" t="s">
        <v>1</v>
      </c>
      <c r="C3" s="69" t="s">
        <v>2</v>
      </c>
      <c r="D3" s="68"/>
      <c r="E3" s="68"/>
      <c r="F3" s="83"/>
      <c r="G3" s="67" t="s">
        <v>3</v>
      </c>
      <c r="H3" s="68"/>
      <c r="I3" s="68"/>
      <c r="J3" s="83"/>
      <c r="K3" s="67" t="s">
        <v>4</v>
      </c>
      <c r="L3" s="68"/>
      <c r="M3" s="68"/>
      <c r="N3" s="83"/>
    </row>
    <row r="4" spans="2:14" ht="18.75" customHeight="1">
      <c r="B4" s="70"/>
      <c r="C4" s="1" t="s">
        <v>5</v>
      </c>
      <c r="D4" s="2" t="s">
        <v>6</v>
      </c>
      <c r="E4" s="2" t="s">
        <v>7</v>
      </c>
      <c r="F4" s="3" t="s">
        <v>39</v>
      </c>
      <c r="G4" s="23" t="s">
        <v>5</v>
      </c>
      <c r="H4" s="2" t="s">
        <v>6</v>
      </c>
      <c r="I4" s="2" t="s">
        <v>7</v>
      </c>
      <c r="J4" s="3" t="s">
        <v>39</v>
      </c>
      <c r="K4" s="23" t="s">
        <v>5</v>
      </c>
      <c r="L4" s="2" t="s">
        <v>6</v>
      </c>
      <c r="M4" s="2" t="s">
        <v>7</v>
      </c>
      <c r="N4" s="3" t="s">
        <v>39</v>
      </c>
    </row>
    <row r="5" spans="2:14" ht="18.75" customHeight="1">
      <c r="B5" s="4" t="s">
        <v>40</v>
      </c>
      <c r="C5" s="5">
        <v>27046</v>
      </c>
      <c r="D5" s="6">
        <v>2023111</v>
      </c>
      <c r="E5" s="6">
        <v>5265453800</v>
      </c>
      <c r="F5" s="19">
        <v>0.54786516269727681</v>
      </c>
      <c r="G5" s="5">
        <v>28219</v>
      </c>
      <c r="H5" s="6">
        <v>2292888</v>
      </c>
      <c r="I5" s="6">
        <v>6015755800</v>
      </c>
      <c r="J5" s="19">
        <v>0.65472531746305962</v>
      </c>
      <c r="K5" s="5">
        <v>25643</v>
      </c>
      <c r="L5" s="6">
        <v>1705701</v>
      </c>
      <c r="M5" s="6">
        <v>4614934000</v>
      </c>
      <c r="N5" s="19">
        <v>0.59083927740090447</v>
      </c>
    </row>
    <row r="6" spans="2:14" ht="18.75" customHeight="1">
      <c r="B6" s="4" t="s">
        <v>41</v>
      </c>
      <c r="C6" s="5">
        <v>27775</v>
      </c>
      <c r="D6" s="6">
        <v>925053</v>
      </c>
      <c r="E6" s="6">
        <v>2316245500</v>
      </c>
      <c r="F6" s="19">
        <v>0.25050741770896606</v>
      </c>
      <c r="G6" s="5">
        <v>19492</v>
      </c>
      <c r="H6" s="6">
        <v>689615</v>
      </c>
      <c r="I6" s="6">
        <v>1827560000</v>
      </c>
      <c r="J6" s="19">
        <v>0.19691690121902503</v>
      </c>
      <c r="K6" s="5">
        <v>16642</v>
      </c>
      <c r="L6" s="6">
        <v>532099</v>
      </c>
      <c r="M6" s="6">
        <v>1441868800</v>
      </c>
      <c r="N6" s="19">
        <v>0.18431424303892879</v>
      </c>
    </row>
    <row r="7" spans="2:14" ht="18.75" customHeight="1">
      <c r="B7" s="4" t="s">
        <v>42</v>
      </c>
      <c r="C7" s="5">
        <v>10032</v>
      </c>
      <c r="D7" s="6">
        <v>547203</v>
      </c>
      <c r="E7" s="6">
        <v>1470726000</v>
      </c>
      <c r="F7" s="19">
        <v>0.14818438564341649</v>
      </c>
      <c r="G7" s="5">
        <v>2423</v>
      </c>
      <c r="H7" s="6">
        <v>119020</v>
      </c>
      <c r="I7" s="6">
        <v>304310500</v>
      </c>
      <c r="J7" s="19">
        <v>3.3985701562594138E-2</v>
      </c>
      <c r="K7" s="5">
        <v>5802</v>
      </c>
      <c r="L7" s="6">
        <v>206681</v>
      </c>
      <c r="M7" s="6">
        <v>552381600</v>
      </c>
      <c r="N7" s="19">
        <v>7.159241431675091E-2</v>
      </c>
    </row>
    <row r="8" spans="2:14" ht="18.75" customHeight="1">
      <c r="B8" s="4" t="s">
        <v>43</v>
      </c>
      <c r="C8" s="5">
        <v>2974</v>
      </c>
      <c r="D8" s="6">
        <v>64928</v>
      </c>
      <c r="E8" s="6">
        <v>163768600</v>
      </c>
      <c r="F8" s="19">
        <v>1.758271754916502E-2</v>
      </c>
      <c r="G8" s="5">
        <v>12311</v>
      </c>
      <c r="H8" s="6">
        <v>179324</v>
      </c>
      <c r="I8" s="6">
        <v>509836800</v>
      </c>
      <c r="J8" s="19">
        <v>5.1205275978916415E-2</v>
      </c>
      <c r="K8" s="5">
        <v>5599</v>
      </c>
      <c r="L8" s="6">
        <v>46207</v>
      </c>
      <c r="M8" s="6">
        <v>123707000</v>
      </c>
      <c r="N8" s="19">
        <v>1.600568358162632E-2</v>
      </c>
    </row>
    <row r="9" spans="2:14" ht="18.75" customHeight="1">
      <c r="B9" s="4" t="s">
        <v>44</v>
      </c>
      <c r="C9" s="5">
        <v>69</v>
      </c>
      <c r="D9" s="6">
        <v>132422</v>
      </c>
      <c r="E9" s="6">
        <v>711210920</v>
      </c>
      <c r="F9" s="19">
        <v>3.586031640117561E-2</v>
      </c>
      <c r="G9" s="5">
        <v>63</v>
      </c>
      <c r="H9" s="6">
        <v>221214</v>
      </c>
      <c r="I9" s="6">
        <v>1917712306</v>
      </c>
      <c r="J9" s="19">
        <v>6.3166803776404809E-2</v>
      </c>
      <c r="K9" s="5">
        <v>263</v>
      </c>
      <c r="L9" s="6">
        <v>396224</v>
      </c>
      <c r="M9" s="6">
        <v>3097792027</v>
      </c>
      <c r="N9" s="19">
        <v>0.13724838166178949</v>
      </c>
    </row>
    <row r="10" spans="2:14" ht="18.75" customHeight="1" thickBot="1">
      <c r="B10" s="20" t="s">
        <v>45</v>
      </c>
      <c r="C10" s="8">
        <v>67896</v>
      </c>
      <c r="D10" s="9">
        <v>3692717</v>
      </c>
      <c r="E10" s="9">
        <v>9927404820</v>
      </c>
      <c r="F10" s="21">
        <v>1.0000000000000002</v>
      </c>
      <c r="G10" s="8">
        <v>62508</v>
      </c>
      <c r="H10" s="9">
        <v>3502061</v>
      </c>
      <c r="I10" s="9">
        <v>10575175406</v>
      </c>
      <c r="J10" s="21">
        <v>1</v>
      </c>
      <c r="K10" s="8">
        <v>53949</v>
      </c>
      <c r="L10" s="9">
        <v>2886912</v>
      </c>
      <c r="M10" s="9">
        <v>9830683427</v>
      </c>
      <c r="N10" s="21">
        <v>1</v>
      </c>
    </row>
    <row r="11" spans="2:14" ht="18.75" customHeight="1">
      <c r="B11" s="71" t="s">
        <v>1</v>
      </c>
      <c r="C11" s="91" t="s">
        <v>11</v>
      </c>
      <c r="D11" s="92"/>
      <c r="E11" s="92"/>
      <c r="F11" s="93"/>
      <c r="G11" s="69" t="s">
        <v>37</v>
      </c>
      <c r="H11" s="68"/>
      <c r="I11" s="68"/>
      <c r="J11" s="83"/>
      <c r="K11" s="67" t="s">
        <v>12</v>
      </c>
      <c r="L11" s="68"/>
      <c r="M11" s="68"/>
      <c r="N11" s="83"/>
    </row>
    <row r="12" spans="2:14" ht="18.75" customHeight="1">
      <c r="B12" s="70"/>
      <c r="C12" s="1" t="s">
        <v>5</v>
      </c>
      <c r="D12" s="2" t="s">
        <v>6</v>
      </c>
      <c r="E12" s="2" t="s">
        <v>7</v>
      </c>
      <c r="F12" s="22" t="s">
        <v>39</v>
      </c>
      <c r="G12" s="1" t="s">
        <v>5</v>
      </c>
      <c r="H12" s="2" t="s">
        <v>6</v>
      </c>
      <c r="I12" s="2" t="s">
        <v>7</v>
      </c>
      <c r="J12" s="3" t="s">
        <v>39</v>
      </c>
      <c r="K12" s="23" t="s">
        <v>5</v>
      </c>
      <c r="L12" s="2" t="s">
        <v>6</v>
      </c>
      <c r="M12" s="2" t="s">
        <v>7</v>
      </c>
      <c r="N12" s="3" t="s">
        <v>39</v>
      </c>
    </row>
    <row r="13" spans="2:14" ht="18.75" customHeight="1">
      <c r="B13" s="4" t="s">
        <v>40</v>
      </c>
      <c r="C13" s="5">
        <v>16106</v>
      </c>
      <c r="D13" s="6">
        <v>1201441</v>
      </c>
      <c r="E13" s="6">
        <v>3238158500</v>
      </c>
      <c r="F13" s="19">
        <v>0.64486713689084163</v>
      </c>
      <c r="G13" s="5">
        <v>14599</v>
      </c>
      <c r="H13" s="6">
        <v>1176059</v>
      </c>
      <c r="I13" s="6">
        <v>3103994400</v>
      </c>
      <c r="J13" s="19">
        <v>0.66765731595921818</v>
      </c>
      <c r="K13" s="5">
        <v>11720</v>
      </c>
      <c r="L13" s="6">
        <v>952303</v>
      </c>
      <c r="M13" s="6">
        <v>2535745200</v>
      </c>
      <c r="N13" s="19">
        <v>0.64527086316140392</v>
      </c>
    </row>
    <row r="14" spans="2:14" ht="18.75" customHeight="1">
      <c r="B14" s="4" t="s">
        <v>41</v>
      </c>
      <c r="C14" s="5">
        <v>11731</v>
      </c>
      <c r="D14" s="6">
        <v>422175</v>
      </c>
      <c r="E14" s="6">
        <v>1161875100</v>
      </c>
      <c r="F14" s="19">
        <v>0.22660021051128693</v>
      </c>
      <c r="G14" s="5">
        <v>10787</v>
      </c>
      <c r="H14" s="6">
        <v>344014</v>
      </c>
      <c r="I14" s="6">
        <v>924467000</v>
      </c>
      <c r="J14" s="19">
        <v>0.19529926975806017</v>
      </c>
      <c r="K14" s="5">
        <v>8930</v>
      </c>
      <c r="L14" s="6">
        <v>308063</v>
      </c>
      <c r="M14" s="6">
        <v>821343800</v>
      </c>
      <c r="N14" s="19">
        <v>0.20874036721305256</v>
      </c>
    </row>
    <row r="15" spans="2:14" ht="18.75" customHeight="1">
      <c r="B15" s="4" t="s">
        <v>42</v>
      </c>
      <c r="C15" s="5">
        <v>2159</v>
      </c>
      <c r="D15" s="6">
        <v>75166</v>
      </c>
      <c r="E15" s="6">
        <v>206711900</v>
      </c>
      <c r="F15" s="19">
        <v>4.0344955109353688E-2</v>
      </c>
      <c r="G15" s="5">
        <v>4447</v>
      </c>
      <c r="H15" s="6">
        <v>207323</v>
      </c>
      <c r="I15" s="6">
        <v>573405700</v>
      </c>
      <c r="J15" s="19">
        <v>0.11769878697974591</v>
      </c>
      <c r="K15" s="5">
        <v>2789</v>
      </c>
      <c r="L15" s="6">
        <v>120252</v>
      </c>
      <c r="M15" s="6">
        <v>323924100</v>
      </c>
      <c r="N15" s="19">
        <v>8.1481536692507683E-2</v>
      </c>
    </row>
    <row r="16" spans="2:14" ht="18.75" customHeight="1">
      <c r="B16" s="4" t="s">
        <v>43</v>
      </c>
      <c r="C16" s="5">
        <v>1397</v>
      </c>
      <c r="D16" s="6">
        <v>32764</v>
      </c>
      <c r="E16" s="6">
        <v>90024900</v>
      </c>
      <c r="F16" s="19">
        <v>1.7585904653737917E-2</v>
      </c>
      <c r="G16" s="5">
        <v>325</v>
      </c>
      <c r="H16" s="6">
        <v>6157</v>
      </c>
      <c r="I16" s="6">
        <v>16743600</v>
      </c>
      <c r="J16" s="19">
        <v>3.4953740368135495E-3</v>
      </c>
      <c r="K16" s="5">
        <v>702</v>
      </c>
      <c r="L16" s="6">
        <v>19129</v>
      </c>
      <c r="M16" s="6">
        <v>52918700</v>
      </c>
      <c r="N16" s="19">
        <v>1.2961616566801214E-2</v>
      </c>
    </row>
    <row r="17" spans="2:14" ht="18.75" customHeight="1">
      <c r="B17" s="4" t="s">
        <v>44</v>
      </c>
      <c r="C17" s="5">
        <v>72</v>
      </c>
      <c r="D17" s="6">
        <v>131537</v>
      </c>
      <c r="E17" s="6">
        <v>790057425</v>
      </c>
      <c r="F17" s="19">
        <v>7.060179283477977E-2</v>
      </c>
      <c r="G17" s="5">
        <v>20</v>
      </c>
      <c r="H17" s="6">
        <v>27918</v>
      </c>
      <c r="I17" s="6">
        <v>319954304</v>
      </c>
      <c r="J17" s="19">
        <v>1.5849253266162201E-2</v>
      </c>
      <c r="K17" s="5">
        <v>31</v>
      </c>
      <c r="L17" s="6">
        <v>76072</v>
      </c>
      <c r="M17" s="6">
        <v>183843673</v>
      </c>
      <c r="N17" s="19">
        <v>5.1545616366234615E-2</v>
      </c>
    </row>
    <row r="18" spans="2:14" ht="18.75" customHeight="1" thickBot="1">
      <c r="B18" s="20" t="s">
        <v>45</v>
      </c>
      <c r="C18" s="8">
        <v>31465</v>
      </c>
      <c r="D18" s="9">
        <v>1863083</v>
      </c>
      <c r="E18" s="9">
        <v>5486827825</v>
      </c>
      <c r="F18" s="21">
        <v>0.99999999999999989</v>
      </c>
      <c r="G18" s="8">
        <v>30178</v>
      </c>
      <c r="H18" s="9">
        <v>1761471</v>
      </c>
      <c r="I18" s="9">
        <v>4938565004</v>
      </c>
      <c r="J18" s="21">
        <v>0.99999999999999989</v>
      </c>
      <c r="K18" s="8">
        <v>24172</v>
      </c>
      <c r="L18" s="9">
        <v>1475819</v>
      </c>
      <c r="M18" s="9">
        <v>3917775473</v>
      </c>
      <c r="N18" s="21">
        <v>1</v>
      </c>
    </row>
    <row r="19" spans="2:14" ht="18.75" customHeight="1">
      <c r="B19" s="78" t="s">
        <v>1</v>
      </c>
      <c r="C19" s="69" t="s">
        <v>13</v>
      </c>
      <c r="D19" s="68"/>
      <c r="E19" s="68"/>
      <c r="F19" s="79"/>
      <c r="G19" s="69" t="s">
        <v>14</v>
      </c>
      <c r="H19" s="68"/>
      <c r="I19" s="68"/>
      <c r="J19" s="83"/>
      <c r="K19" s="67" t="s">
        <v>15</v>
      </c>
      <c r="L19" s="68"/>
      <c r="M19" s="68"/>
      <c r="N19" s="83"/>
    </row>
    <row r="20" spans="2:14" ht="18.75" customHeight="1">
      <c r="B20" s="70"/>
      <c r="C20" s="1" t="s">
        <v>5</v>
      </c>
      <c r="D20" s="2" t="s">
        <v>6</v>
      </c>
      <c r="E20" s="2" t="s">
        <v>7</v>
      </c>
      <c r="F20" s="22" t="s">
        <v>39</v>
      </c>
      <c r="G20" s="1" t="s">
        <v>5</v>
      </c>
      <c r="H20" s="2" t="s">
        <v>6</v>
      </c>
      <c r="I20" s="2" t="s">
        <v>7</v>
      </c>
      <c r="J20" s="3" t="s">
        <v>39</v>
      </c>
      <c r="K20" s="23" t="s">
        <v>5</v>
      </c>
      <c r="L20" s="2" t="s">
        <v>6</v>
      </c>
      <c r="M20" s="2" t="s">
        <v>7</v>
      </c>
      <c r="N20" s="3" t="s">
        <v>39</v>
      </c>
    </row>
    <row r="21" spans="2:14" ht="18.75" customHeight="1">
      <c r="B21" s="4" t="s">
        <v>40</v>
      </c>
      <c r="C21" s="5">
        <v>8140</v>
      </c>
      <c r="D21" s="6">
        <v>682096</v>
      </c>
      <c r="E21" s="6">
        <v>1797602100</v>
      </c>
      <c r="F21" s="19">
        <v>0.53874806883630999</v>
      </c>
      <c r="G21" s="5">
        <v>10463</v>
      </c>
      <c r="H21" s="6">
        <v>663842</v>
      </c>
      <c r="I21" s="6">
        <v>1719902000</v>
      </c>
      <c r="J21" s="19">
        <v>0.67349384022425374</v>
      </c>
      <c r="K21" s="5">
        <v>10474</v>
      </c>
      <c r="L21" s="6">
        <v>775025</v>
      </c>
      <c r="M21" s="6">
        <v>2059983100</v>
      </c>
      <c r="N21" s="19">
        <v>0.78516541128676864</v>
      </c>
    </row>
    <row r="22" spans="2:14" ht="18.75" customHeight="1">
      <c r="B22" s="4" t="s">
        <v>41</v>
      </c>
      <c r="C22" s="5">
        <v>14319</v>
      </c>
      <c r="D22" s="6">
        <v>424390</v>
      </c>
      <c r="E22" s="6">
        <v>1107541600</v>
      </c>
      <c r="F22" s="19">
        <v>0.33520104638268161</v>
      </c>
      <c r="G22" s="5">
        <v>7742</v>
      </c>
      <c r="H22" s="6">
        <v>254123</v>
      </c>
      <c r="I22" s="6">
        <v>627104700</v>
      </c>
      <c r="J22" s="19">
        <v>0.25781778670121513</v>
      </c>
      <c r="K22" s="5">
        <v>4211</v>
      </c>
      <c r="L22" s="6">
        <v>125700</v>
      </c>
      <c r="M22" s="6">
        <v>326327900</v>
      </c>
      <c r="N22" s="19">
        <v>0.12734465623527863</v>
      </c>
    </row>
    <row r="23" spans="2:14" ht="18.75" customHeight="1">
      <c r="B23" s="4" t="s">
        <v>42</v>
      </c>
      <c r="C23" s="5">
        <v>1589</v>
      </c>
      <c r="D23" s="6">
        <v>52929</v>
      </c>
      <c r="E23" s="6">
        <v>142142300</v>
      </c>
      <c r="F23" s="19">
        <v>4.1805547218334446E-2</v>
      </c>
      <c r="G23" s="5">
        <v>667</v>
      </c>
      <c r="H23" s="6">
        <v>17826</v>
      </c>
      <c r="I23" s="6">
        <v>45226600</v>
      </c>
      <c r="J23" s="19">
        <v>1.8085178695890811E-2</v>
      </c>
      <c r="K23" s="5">
        <v>1645</v>
      </c>
      <c r="L23" s="6">
        <v>58898</v>
      </c>
      <c r="M23" s="6">
        <v>159430200</v>
      </c>
      <c r="N23" s="19">
        <v>5.9668620230273986E-2</v>
      </c>
    </row>
    <row r="24" spans="2:14" ht="18.75" customHeight="1">
      <c r="B24" s="4" t="s">
        <v>43</v>
      </c>
      <c r="C24" s="5">
        <v>968</v>
      </c>
      <c r="D24" s="6">
        <v>16286</v>
      </c>
      <c r="E24" s="6">
        <v>44036200</v>
      </c>
      <c r="F24" s="19">
        <v>1.2863366812102907E-2</v>
      </c>
      <c r="G24" s="5">
        <v>1069</v>
      </c>
      <c r="H24" s="6">
        <v>14210</v>
      </c>
      <c r="I24" s="6">
        <v>38654700</v>
      </c>
      <c r="J24" s="19">
        <v>1.4416604357040751E-2</v>
      </c>
      <c r="K24" s="5">
        <v>1414</v>
      </c>
      <c r="L24" s="6">
        <v>17335</v>
      </c>
      <c r="M24" s="6">
        <v>48387000</v>
      </c>
      <c r="N24" s="19">
        <v>1.7561810786305129E-2</v>
      </c>
    </row>
    <row r="25" spans="2:14">
      <c r="B25" s="4" t="s">
        <v>44</v>
      </c>
      <c r="C25" s="5">
        <v>55</v>
      </c>
      <c r="D25" s="6">
        <v>90375</v>
      </c>
      <c r="E25" s="6">
        <v>711235467</v>
      </c>
      <c r="F25" s="19">
        <v>7.1381970750571053E-2</v>
      </c>
      <c r="G25" s="5">
        <v>36</v>
      </c>
      <c r="H25" s="6">
        <v>35668</v>
      </c>
      <c r="I25" s="6">
        <v>832367661</v>
      </c>
      <c r="J25" s="19">
        <v>3.6186590021599546E-2</v>
      </c>
      <c r="K25" s="5">
        <v>13</v>
      </c>
      <c r="L25" s="6">
        <v>10127</v>
      </c>
      <c r="M25" s="6">
        <v>90198990</v>
      </c>
      <c r="N25" s="19">
        <v>1.0259501461373641E-2</v>
      </c>
    </row>
    <row r="26" spans="2:14" ht="17.25" thickBot="1">
      <c r="B26" s="20" t="s">
        <v>45</v>
      </c>
      <c r="C26" s="8">
        <v>25071</v>
      </c>
      <c r="D26" s="9">
        <v>1266076</v>
      </c>
      <c r="E26" s="9">
        <v>3802557667</v>
      </c>
      <c r="F26" s="21">
        <v>0.99999999999999989</v>
      </c>
      <c r="G26" s="8">
        <v>19977</v>
      </c>
      <c r="H26" s="9">
        <v>985669</v>
      </c>
      <c r="I26" s="9">
        <v>3263255661</v>
      </c>
      <c r="J26" s="21">
        <v>0.99999999999999989</v>
      </c>
      <c r="K26" s="8">
        <v>17757</v>
      </c>
      <c r="L26" s="9">
        <v>987085</v>
      </c>
      <c r="M26" s="9">
        <v>2684327190</v>
      </c>
      <c r="N26" s="21">
        <v>1</v>
      </c>
    </row>
    <row r="27" spans="2:14">
      <c r="B27" s="78" t="s">
        <v>1</v>
      </c>
      <c r="C27" s="69" t="s">
        <v>16</v>
      </c>
      <c r="D27" s="68"/>
      <c r="E27" s="68"/>
      <c r="F27" s="79"/>
      <c r="G27" s="69" t="s">
        <v>17</v>
      </c>
      <c r="H27" s="68"/>
      <c r="I27" s="68"/>
      <c r="J27" s="83"/>
      <c r="K27" s="67" t="s">
        <v>18</v>
      </c>
      <c r="L27" s="68"/>
      <c r="M27" s="68"/>
      <c r="N27" s="83"/>
    </row>
    <row r="28" spans="2:14">
      <c r="B28" s="70"/>
      <c r="C28" s="1" t="s">
        <v>5</v>
      </c>
      <c r="D28" s="2" t="s">
        <v>6</v>
      </c>
      <c r="E28" s="2" t="s">
        <v>7</v>
      </c>
      <c r="F28" s="22" t="s">
        <v>39</v>
      </c>
      <c r="G28" s="1" t="s">
        <v>5</v>
      </c>
      <c r="H28" s="2" t="s">
        <v>6</v>
      </c>
      <c r="I28" s="2" t="s">
        <v>7</v>
      </c>
      <c r="J28" s="3" t="s">
        <v>39</v>
      </c>
      <c r="K28" s="23" t="s">
        <v>5</v>
      </c>
      <c r="L28" s="2" t="s">
        <v>6</v>
      </c>
      <c r="M28" s="2" t="s">
        <v>7</v>
      </c>
      <c r="N28" s="3" t="s">
        <v>39</v>
      </c>
    </row>
    <row r="29" spans="2:14">
      <c r="B29" s="4" t="s">
        <v>40</v>
      </c>
      <c r="C29" s="5">
        <v>7136</v>
      </c>
      <c r="D29" s="6">
        <v>513239</v>
      </c>
      <c r="E29" s="6">
        <v>1383617300</v>
      </c>
      <c r="F29" s="19">
        <v>0.64079501486376644</v>
      </c>
      <c r="G29" s="5">
        <v>5283</v>
      </c>
      <c r="H29" s="6">
        <v>380124</v>
      </c>
      <c r="I29" s="6">
        <v>1018249100</v>
      </c>
      <c r="J29" s="19">
        <v>0.56407844068349944</v>
      </c>
      <c r="K29" s="5">
        <v>92</v>
      </c>
      <c r="L29" s="6">
        <v>7712</v>
      </c>
      <c r="M29" s="6">
        <v>20870000</v>
      </c>
      <c r="N29" s="19">
        <v>8.4962927871850516E-2</v>
      </c>
    </row>
    <row r="30" spans="2:14">
      <c r="B30" s="4" t="s">
        <v>41</v>
      </c>
      <c r="C30" s="5">
        <v>6185</v>
      </c>
      <c r="D30" s="6">
        <v>186210</v>
      </c>
      <c r="E30" s="6">
        <v>488167800</v>
      </c>
      <c r="F30" s="19">
        <v>0.23248903477284844</v>
      </c>
      <c r="G30" s="5">
        <v>7488</v>
      </c>
      <c r="H30" s="6">
        <v>228094</v>
      </c>
      <c r="I30" s="6">
        <v>590574300</v>
      </c>
      <c r="J30" s="19">
        <v>0.33847614949138205</v>
      </c>
      <c r="K30" s="5">
        <v>1402</v>
      </c>
      <c r="L30" s="6">
        <v>42410</v>
      </c>
      <c r="M30" s="6">
        <v>111049600</v>
      </c>
      <c r="N30" s="19">
        <v>0.46723000143220705</v>
      </c>
    </row>
    <row r="31" spans="2:14">
      <c r="B31" s="4" t="s">
        <v>42</v>
      </c>
      <c r="C31" s="5">
        <v>1620</v>
      </c>
      <c r="D31" s="6">
        <v>57256</v>
      </c>
      <c r="E31" s="6">
        <v>154052200</v>
      </c>
      <c r="F31" s="19">
        <v>7.1485914692842545E-2</v>
      </c>
      <c r="G31" s="5">
        <v>778</v>
      </c>
      <c r="H31" s="6">
        <v>25271</v>
      </c>
      <c r="I31" s="6">
        <v>68048200</v>
      </c>
      <c r="J31" s="19">
        <v>3.7500463728974531E-2</v>
      </c>
      <c r="K31" s="5">
        <v>34</v>
      </c>
      <c r="L31" s="6">
        <v>1036</v>
      </c>
      <c r="M31" s="6">
        <v>2809900</v>
      </c>
      <c r="N31" s="19">
        <v>1.1413588339631372E-2</v>
      </c>
    </row>
    <row r="32" spans="2:14">
      <c r="B32" s="4" t="s">
        <v>43</v>
      </c>
      <c r="C32" s="5">
        <v>413</v>
      </c>
      <c r="D32" s="6">
        <v>4867</v>
      </c>
      <c r="E32" s="6">
        <v>12972300</v>
      </c>
      <c r="F32" s="19">
        <v>6.0766023964311982E-3</v>
      </c>
      <c r="G32" s="5">
        <v>1362</v>
      </c>
      <c r="H32" s="6">
        <v>17950</v>
      </c>
      <c r="I32" s="6">
        <v>44594700</v>
      </c>
      <c r="J32" s="19">
        <v>2.6636592296905258E-2</v>
      </c>
      <c r="K32" s="5">
        <v>1370</v>
      </c>
      <c r="L32" s="6">
        <v>18352</v>
      </c>
      <c r="M32" s="6">
        <v>51627800</v>
      </c>
      <c r="N32" s="19">
        <v>0.20218356487347003</v>
      </c>
    </row>
    <row r="33" spans="2:14">
      <c r="B33" s="4" t="s">
        <v>44</v>
      </c>
      <c r="C33" s="5">
        <v>36</v>
      </c>
      <c r="D33" s="6">
        <v>39369</v>
      </c>
      <c r="E33" s="6">
        <v>452318713</v>
      </c>
      <c r="F33" s="19">
        <v>4.9153433274111327E-2</v>
      </c>
      <c r="G33" s="5">
        <v>35</v>
      </c>
      <c r="H33" s="6">
        <v>22446</v>
      </c>
      <c r="I33" s="6">
        <v>205383595</v>
      </c>
      <c r="J33" s="19">
        <v>3.3308353799238744E-2</v>
      </c>
      <c r="K33" s="5">
        <v>12</v>
      </c>
      <c r="L33" s="6">
        <v>21259</v>
      </c>
      <c r="M33" s="6">
        <v>476601511</v>
      </c>
      <c r="N33" s="19">
        <v>0.23420991748284106</v>
      </c>
    </row>
    <row r="34" spans="2:14" ht="17.25" thickBot="1">
      <c r="B34" s="20" t="s">
        <v>45</v>
      </c>
      <c r="C34" s="8">
        <v>15390</v>
      </c>
      <c r="D34" s="9">
        <v>800941</v>
      </c>
      <c r="E34" s="9">
        <v>2491128313</v>
      </c>
      <c r="F34" s="21">
        <v>0.99999999999999989</v>
      </c>
      <c r="G34" s="8">
        <v>14946</v>
      </c>
      <c r="H34" s="9">
        <v>673885</v>
      </c>
      <c r="I34" s="9">
        <v>1926849895</v>
      </c>
      <c r="J34" s="21">
        <v>1</v>
      </c>
      <c r="K34" s="8">
        <v>2910</v>
      </c>
      <c r="L34" s="9">
        <v>90769</v>
      </c>
      <c r="M34" s="9">
        <v>662958811</v>
      </c>
      <c r="N34" s="21">
        <v>1</v>
      </c>
    </row>
    <row r="35" spans="2:14" ht="21" thickBot="1">
      <c r="B35" s="84" t="s">
        <v>19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85"/>
    </row>
    <row r="36" spans="2:14">
      <c r="B36" s="78" t="s">
        <v>1</v>
      </c>
      <c r="C36" s="69" t="s">
        <v>20</v>
      </c>
      <c r="D36" s="68"/>
      <c r="E36" s="68"/>
      <c r="F36" s="79"/>
      <c r="G36" s="69" t="s">
        <v>21</v>
      </c>
      <c r="H36" s="68"/>
      <c r="I36" s="68"/>
      <c r="J36" s="83"/>
      <c r="K36" s="67" t="s">
        <v>22</v>
      </c>
      <c r="L36" s="68"/>
      <c r="M36" s="68"/>
      <c r="N36" s="83"/>
    </row>
    <row r="37" spans="2:14">
      <c r="B37" s="70"/>
      <c r="C37" s="1" t="s">
        <v>5</v>
      </c>
      <c r="D37" s="2" t="s">
        <v>6</v>
      </c>
      <c r="E37" s="2" t="s">
        <v>7</v>
      </c>
      <c r="F37" s="22" t="s">
        <v>39</v>
      </c>
      <c r="G37" s="1" t="s">
        <v>5</v>
      </c>
      <c r="H37" s="2" t="s">
        <v>6</v>
      </c>
      <c r="I37" s="2" t="s">
        <v>7</v>
      </c>
      <c r="J37" s="3" t="s">
        <v>39</v>
      </c>
      <c r="K37" s="23" t="s">
        <v>5</v>
      </c>
      <c r="L37" s="2" t="s">
        <v>6</v>
      </c>
      <c r="M37" s="2" t="s">
        <v>7</v>
      </c>
      <c r="N37" s="3" t="s">
        <v>39</v>
      </c>
    </row>
    <row r="38" spans="2:14">
      <c r="B38" s="4" t="s">
        <v>40</v>
      </c>
      <c r="C38" s="5">
        <v>3662</v>
      </c>
      <c r="D38" s="6">
        <v>313385</v>
      </c>
      <c r="E38" s="6">
        <v>846646700</v>
      </c>
      <c r="F38" s="19">
        <v>0.203325247080547</v>
      </c>
      <c r="G38" s="5">
        <v>4258</v>
      </c>
      <c r="H38" s="6">
        <v>435408</v>
      </c>
      <c r="I38" s="6">
        <v>1192098000</v>
      </c>
      <c r="J38" s="19">
        <v>0.32710856814874528</v>
      </c>
      <c r="K38" s="5">
        <v>1927</v>
      </c>
      <c r="L38" s="6">
        <v>156380</v>
      </c>
      <c r="M38" s="6">
        <v>411458200</v>
      </c>
      <c r="N38" s="19">
        <v>0.12128356761997092</v>
      </c>
    </row>
    <row r="39" spans="2:14">
      <c r="B39" s="4" t="s">
        <v>41</v>
      </c>
      <c r="C39" s="5">
        <v>18629</v>
      </c>
      <c r="D39" s="6">
        <v>687504</v>
      </c>
      <c r="E39" s="6">
        <v>1893112700</v>
      </c>
      <c r="F39" s="19">
        <v>0.44605491861086005</v>
      </c>
      <c r="G39" s="5">
        <v>9850</v>
      </c>
      <c r="H39" s="6">
        <v>665357</v>
      </c>
      <c r="I39" s="6">
        <v>1818200800</v>
      </c>
      <c r="J39" s="19">
        <v>0.49986214212358226</v>
      </c>
      <c r="K39" s="5">
        <v>12657</v>
      </c>
      <c r="L39" s="6">
        <v>418714</v>
      </c>
      <c r="M39" s="6">
        <v>1116907900</v>
      </c>
      <c r="N39" s="19">
        <v>0.3247418322830829</v>
      </c>
    </row>
    <row r="40" spans="2:14">
      <c r="B40" s="4" t="s">
        <v>42</v>
      </c>
      <c r="C40" s="5">
        <v>9679</v>
      </c>
      <c r="D40" s="6">
        <v>511403</v>
      </c>
      <c r="E40" s="6">
        <v>1418996300</v>
      </c>
      <c r="F40" s="19">
        <v>0.3317999946798123</v>
      </c>
      <c r="G40" s="5">
        <v>2118</v>
      </c>
      <c r="H40" s="6">
        <v>139632</v>
      </c>
      <c r="I40" s="6">
        <v>389990200</v>
      </c>
      <c r="J40" s="19">
        <v>0.10490120435946422</v>
      </c>
      <c r="K40" s="5">
        <v>8928</v>
      </c>
      <c r="L40" s="6">
        <v>522660</v>
      </c>
      <c r="M40" s="6">
        <v>1402233200</v>
      </c>
      <c r="N40" s="19">
        <v>0.40535918565196316</v>
      </c>
    </row>
    <row r="41" spans="2:14">
      <c r="B41" s="4" t="s">
        <v>43</v>
      </c>
      <c r="C41" s="5">
        <v>787</v>
      </c>
      <c r="D41" s="6">
        <v>22767</v>
      </c>
      <c r="E41" s="6">
        <v>64725500</v>
      </c>
      <c r="F41" s="19">
        <v>1.477130654078151E-2</v>
      </c>
      <c r="G41" s="5">
        <v>758</v>
      </c>
      <c r="H41" s="6">
        <v>47487</v>
      </c>
      <c r="I41" s="6">
        <v>135216600</v>
      </c>
      <c r="J41" s="19">
        <v>3.5675514863483138E-2</v>
      </c>
      <c r="K41" s="5">
        <v>1244</v>
      </c>
      <c r="L41" s="6">
        <v>23782</v>
      </c>
      <c r="M41" s="6">
        <v>66184000</v>
      </c>
      <c r="N41" s="19">
        <v>1.8444595249636452E-2</v>
      </c>
    </row>
    <row r="42" spans="2:14">
      <c r="B42" s="4" t="s">
        <v>44</v>
      </c>
      <c r="C42" s="5">
        <v>14</v>
      </c>
      <c r="D42" s="6">
        <v>6240</v>
      </c>
      <c r="E42" s="6">
        <v>25592727</v>
      </c>
      <c r="F42" s="19">
        <v>4.0485330879991488E-3</v>
      </c>
      <c r="G42" s="5">
        <v>10</v>
      </c>
      <c r="H42" s="6">
        <v>43197</v>
      </c>
      <c r="I42" s="6">
        <v>142384436</v>
      </c>
      <c r="J42" s="19">
        <v>3.2452570504725109E-2</v>
      </c>
      <c r="K42" s="5">
        <v>34</v>
      </c>
      <c r="L42" s="6">
        <v>167839</v>
      </c>
      <c r="M42" s="6">
        <v>1399000357</v>
      </c>
      <c r="N42" s="19">
        <v>0.13017081919534659</v>
      </c>
    </row>
    <row r="43" spans="2:14" ht="17.25" thickBot="1">
      <c r="B43" s="20" t="s">
        <v>45</v>
      </c>
      <c r="C43" s="8">
        <v>32771</v>
      </c>
      <c r="D43" s="9">
        <v>1541299</v>
      </c>
      <c r="E43" s="9">
        <v>4249073927</v>
      </c>
      <c r="F43" s="21">
        <v>1</v>
      </c>
      <c r="G43" s="8">
        <v>16994</v>
      </c>
      <c r="H43" s="9">
        <v>1331081</v>
      </c>
      <c r="I43" s="9">
        <v>3677890036</v>
      </c>
      <c r="J43" s="21">
        <v>1.0000000000000002</v>
      </c>
      <c r="K43" s="8">
        <v>24790</v>
      </c>
      <c r="L43" s="9">
        <v>1289375</v>
      </c>
      <c r="M43" s="9">
        <v>4395783657</v>
      </c>
      <c r="N43" s="21">
        <v>1</v>
      </c>
    </row>
    <row r="44" spans="2:14">
      <c r="B44" s="78" t="s">
        <v>1</v>
      </c>
      <c r="C44" s="69" t="s">
        <v>23</v>
      </c>
      <c r="D44" s="68"/>
      <c r="E44" s="68"/>
      <c r="F44" s="79"/>
      <c r="G44" s="69" t="s">
        <v>24</v>
      </c>
      <c r="H44" s="68"/>
      <c r="I44" s="68"/>
      <c r="J44" s="83"/>
      <c r="K44" s="67" t="s">
        <v>25</v>
      </c>
      <c r="L44" s="68"/>
      <c r="M44" s="68"/>
      <c r="N44" s="83"/>
    </row>
    <row r="45" spans="2:14">
      <c r="B45" s="70"/>
      <c r="C45" s="1" t="s">
        <v>5</v>
      </c>
      <c r="D45" s="2" t="s">
        <v>6</v>
      </c>
      <c r="E45" s="2" t="s">
        <v>7</v>
      </c>
      <c r="F45" s="22" t="s">
        <v>39</v>
      </c>
      <c r="G45" s="1" t="s">
        <v>5</v>
      </c>
      <c r="H45" s="2" t="s">
        <v>6</v>
      </c>
      <c r="I45" s="2" t="s">
        <v>7</v>
      </c>
      <c r="J45" s="3" t="s">
        <v>39</v>
      </c>
      <c r="K45" s="23" t="s">
        <v>5</v>
      </c>
      <c r="L45" s="2" t="s">
        <v>6</v>
      </c>
      <c r="M45" s="2" t="s">
        <v>7</v>
      </c>
      <c r="N45" s="3" t="s">
        <v>39</v>
      </c>
    </row>
    <row r="46" spans="2:14">
      <c r="B46" s="4" t="s">
        <v>40</v>
      </c>
      <c r="C46" s="5">
        <v>3089</v>
      </c>
      <c r="D46" s="6">
        <v>227433</v>
      </c>
      <c r="E46" s="6">
        <v>611810600</v>
      </c>
      <c r="F46" s="19">
        <v>0.22230117732153243</v>
      </c>
      <c r="G46" s="5">
        <v>2404</v>
      </c>
      <c r="H46" s="6">
        <v>195287</v>
      </c>
      <c r="I46" s="6">
        <v>520025200</v>
      </c>
      <c r="J46" s="19">
        <v>0.34033034979854171</v>
      </c>
      <c r="K46" s="5">
        <v>1862</v>
      </c>
      <c r="L46" s="6">
        <v>149065</v>
      </c>
      <c r="M46" s="6">
        <v>419240900</v>
      </c>
      <c r="N46" s="19">
        <v>0.25432244943919907</v>
      </c>
    </row>
    <row r="47" spans="2:14">
      <c r="B47" s="4" t="s">
        <v>41</v>
      </c>
      <c r="C47" s="5">
        <v>8336</v>
      </c>
      <c r="D47" s="6">
        <v>336099</v>
      </c>
      <c r="E47" s="6">
        <v>846339800</v>
      </c>
      <c r="F47" s="19">
        <v>0.32851522600761424</v>
      </c>
      <c r="G47" s="5">
        <v>10864</v>
      </c>
      <c r="H47" s="6">
        <v>323613</v>
      </c>
      <c r="I47" s="6">
        <v>841928100</v>
      </c>
      <c r="J47" s="19">
        <v>0.56396649797147513</v>
      </c>
      <c r="K47" s="5">
        <v>5664</v>
      </c>
      <c r="L47" s="6">
        <v>251624</v>
      </c>
      <c r="M47" s="6">
        <v>645644500</v>
      </c>
      <c r="N47" s="19">
        <v>0.42930018460194563</v>
      </c>
    </row>
    <row r="48" spans="2:14">
      <c r="B48" s="4" t="s">
        <v>42</v>
      </c>
      <c r="C48" s="5">
        <v>7633</v>
      </c>
      <c r="D48" s="6">
        <v>390937</v>
      </c>
      <c r="E48" s="6">
        <v>1064675000</v>
      </c>
      <c r="F48" s="19">
        <v>0.38211585547632893</v>
      </c>
      <c r="G48" s="5">
        <v>801</v>
      </c>
      <c r="H48" s="6">
        <v>16424</v>
      </c>
      <c r="I48" s="6">
        <v>44239400</v>
      </c>
      <c r="J48" s="19">
        <v>2.8622415547841121E-2</v>
      </c>
      <c r="K48" s="5">
        <v>2369</v>
      </c>
      <c r="L48" s="6">
        <v>151363</v>
      </c>
      <c r="M48" s="6">
        <v>433528700</v>
      </c>
      <c r="N48" s="19">
        <v>0.25824310813715823</v>
      </c>
    </row>
    <row r="49" spans="2:15">
      <c r="B49" s="4" t="s">
        <v>43</v>
      </c>
      <c r="C49" s="5">
        <v>1210</v>
      </c>
      <c r="D49" s="6">
        <v>14230</v>
      </c>
      <c r="E49" s="6">
        <v>39246000</v>
      </c>
      <c r="F49" s="19">
        <v>1.3908912749185064E-2</v>
      </c>
      <c r="G49" s="5">
        <v>705</v>
      </c>
      <c r="H49" s="6">
        <v>17848</v>
      </c>
      <c r="I49" s="6">
        <v>50900500</v>
      </c>
      <c r="J49" s="19">
        <v>3.1104047290420624E-2</v>
      </c>
      <c r="K49" s="5">
        <v>261</v>
      </c>
      <c r="L49" s="6">
        <v>5684</v>
      </c>
      <c r="M49" s="6">
        <v>16382900</v>
      </c>
      <c r="N49" s="19">
        <v>9.6975735592688267E-3</v>
      </c>
    </row>
    <row r="50" spans="2:15">
      <c r="B50" s="4" t="s">
        <v>44</v>
      </c>
      <c r="C50" s="5">
        <v>21</v>
      </c>
      <c r="D50" s="6">
        <v>54386</v>
      </c>
      <c r="E50" s="6">
        <v>281698345</v>
      </c>
      <c r="F50" s="19">
        <v>5.315882844533934E-2</v>
      </c>
      <c r="G50" s="5">
        <v>9</v>
      </c>
      <c r="H50" s="6">
        <v>20644</v>
      </c>
      <c r="I50" s="6">
        <v>55629560</v>
      </c>
      <c r="J50" s="19">
        <v>3.5976689391721391E-2</v>
      </c>
      <c r="K50" s="5">
        <v>16</v>
      </c>
      <c r="L50" s="6">
        <v>28390</v>
      </c>
      <c r="M50" s="6">
        <v>88861290</v>
      </c>
      <c r="N50" s="19">
        <v>4.8436684262428212E-2</v>
      </c>
    </row>
    <row r="51" spans="2:15" ht="17.25" thickBot="1">
      <c r="B51" s="20" t="s">
        <v>45</v>
      </c>
      <c r="C51" s="8">
        <v>20289</v>
      </c>
      <c r="D51" s="9">
        <v>1023085</v>
      </c>
      <c r="E51" s="9">
        <v>2843769745</v>
      </c>
      <c r="F51" s="21">
        <v>1</v>
      </c>
      <c r="G51" s="8">
        <v>14783</v>
      </c>
      <c r="H51" s="9">
        <v>573816</v>
      </c>
      <c r="I51" s="9">
        <v>1512722760</v>
      </c>
      <c r="J51" s="21">
        <v>1</v>
      </c>
      <c r="K51" s="8">
        <v>10172</v>
      </c>
      <c r="L51" s="9">
        <v>586126</v>
      </c>
      <c r="M51" s="9">
        <v>1603658290</v>
      </c>
      <c r="N51" s="21">
        <v>0.99999999999999989</v>
      </c>
    </row>
    <row r="52" spans="2:15">
      <c r="B52" s="78" t="s">
        <v>1</v>
      </c>
      <c r="C52" s="69" t="s">
        <v>26</v>
      </c>
      <c r="D52" s="68"/>
      <c r="E52" s="68"/>
      <c r="F52" s="79"/>
      <c r="G52" s="69" t="s">
        <v>27</v>
      </c>
      <c r="H52" s="68"/>
      <c r="I52" s="68"/>
      <c r="J52" s="83"/>
      <c r="K52" s="67" t="s">
        <v>28</v>
      </c>
      <c r="L52" s="68"/>
      <c r="M52" s="68"/>
      <c r="N52" s="83"/>
    </row>
    <row r="53" spans="2:15">
      <c r="B53" s="70"/>
      <c r="C53" s="1" t="s">
        <v>5</v>
      </c>
      <c r="D53" s="2" t="s">
        <v>6</v>
      </c>
      <c r="E53" s="2" t="s">
        <v>7</v>
      </c>
      <c r="F53" s="22" t="s">
        <v>39</v>
      </c>
      <c r="G53" s="1" t="s">
        <v>5</v>
      </c>
      <c r="H53" s="2" t="s">
        <v>6</v>
      </c>
      <c r="I53" s="2" t="s">
        <v>7</v>
      </c>
      <c r="J53" s="3" t="s">
        <v>39</v>
      </c>
      <c r="K53" s="23" t="s">
        <v>5</v>
      </c>
      <c r="L53" s="2" t="s">
        <v>6</v>
      </c>
      <c r="M53" s="2" t="s">
        <v>7</v>
      </c>
      <c r="N53" s="3" t="s">
        <v>39</v>
      </c>
    </row>
    <row r="54" spans="2:15">
      <c r="B54" s="4" t="s">
        <v>40</v>
      </c>
      <c r="C54" s="5">
        <v>2220</v>
      </c>
      <c r="D54" s="6">
        <v>158876</v>
      </c>
      <c r="E54" s="6">
        <v>426442700</v>
      </c>
      <c r="F54" s="19">
        <v>0.45219113867487126</v>
      </c>
      <c r="G54" s="5">
        <v>601</v>
      </c>
      <c r="H54" s="6">
        <v>48351</v>
      </c>
      <c r="I54" s="6">
        <v>130180300</v>
      </c>
      <c r="J54" s="19">
        <v>0.27922891677591116</v>
      </c>
      <c r="K54" s="5">
        <v>532</v>
      </c>
      <c r="L54" s="6">
        <v>43834</v>
      </c>
      <c r="M54" s="6">
        <v>117218300</v>
      </c>
      <c r="N54" s="19">
        <v>0.34311523017072004</v>
      </c>
      <c r="O54" s="26"/>
    </row>
    <row r="55" spans="2:15">
      <c r="B55" s="4" t="s">
        <v>41</v>
      </c>
      <c r="C55" s="5">
        <v>4054</v>
      </c>
      <c r="D55" s="6">
        <v>135289</v>
      </c>
      <c r="E55" s="6">
        <v>377513200</v>
      </c>
      <c r="F55" s="19">
        <v>0.38505807648848572</v>
      </c>
      <c r="G55" s="5">
        <v>2448</v>
      </c>
      <c r="H55" s="6">
        <v>92758</v>
      </c>
      <c r="I55" s="6">
        <v>234031600</v>
      </c>
      <c r="J55" s="19">
        <v>0.53568107923931185</v>
      </c>
      <c r="K55" s="5">
        <v>736</v>
      </c>
      <c r="L55" s="6">
        <v>46578</v>
      </c>
      <c r="M55" s="6">
        <v>119910400</v>
      </c>
      <c r="N55" s="19">
        <v>0.36459417782752657</v>
      </c>
      <c r="O55" s="26"/>
    </row>
    <row r="56" spans="2:15">
      <c r="B56" s="4" t="s">
        <v>42</v>
      </c>
      <c r="C56" s="5">
        <v>1071</v>
      </c>
      <c r="D56" s="6">
        <v>45650</v>
      </c>
      <c r="E56" s="6">
        <v>121204900</v>
      </c>
      <c r="F56" s="19">
        <v>0.12992853219182177</v>
      </c>
      <c r="G56" s="5">
        <v>310</v>
      </c>
      <c r="H56" s="6">
        <v>15588</v>
      </c>
      <c r="I56" s="6">
        <v>43257800</v>
      </c>
      <c r="J56" s="19">
        <v>9.002130989437454E-2</v>
      </c>
      <c r="K56" s="5">
        <v>498</v>
      </c>
      <c r="L56" s="6">
        <v>29459</v>
      </c>
      <c r="M56" s="6">
        <v>81760900</v>
      </c>
      <c r="N56" s="19">
        <v>0.23059341072225309</v>
      </c>
      <c r="O56" s="26"/>
    </row>
    <row r="57" spans="2:15">
      <c r="B57" s="4" t="s">
        <v>43</v>
      </c>
      <c r="C57" s="5">
        <v>400</v>
      </c>
      <c r="D57" s="6">
        <v>11532</v>
      </c>
      <c r="E57" s="6">
        <v>25943100</v>
      </c>
      <c r="F57" s="19">
        <v>3.2822252644821213E-2</v>
      </c>
      <c r="G57" s="5">
        <v>302</v>
      </c>
      <c r="H57" s="6">
        <v>5348</v>
      </c>
      <c r="I57" s="6">
        <v>14208400</v>
      </c>
      <c r="J57" s="19">
        <v>3.0884909245260137E-2</v>
      </c>
      <c r="K57" s="5">
        <v>377</v>
      </c>
      <c r="L57" s="6">
        <v>7466</v>
      </c>
      <c r="M57" s="6">
        <v>21618300</v>
      </c>
      <c r="N57" s="19">
        <v>5.844089766972204E-2</v>
      </c>
      <c r="O57" s="26"/>
    </row>
    <row r="58" spans="2:15">
      <c r="B58" s="4" t="s">
        <v>44</v>
      </c>
      <c r="C58" s="5">
        <v>0</v>
      </c>
      <c r="D58" s="6">
        <v>0</v>
      </c>
      <c r="E58" s="6">
        <v>0</v>
      </c>
      <c r="F58" s="19">
        <v>0</v>
      </c>
      <c r="G58" s="5">
        <v>10</v>
      </c>
      <c r="H58" s="6">
        <v>11114</v>
      </c>
      <c r="I58" s="6">
        <v>38146390</v>
      </c>
      <c r="J58" s="19">
        <v>6.4183784845142325E-2</v>
      </c>
      <c r="K58" s="5">
        <v>1</v>
      </c>
      <c r="L58" s="6">
        <v>416</v>
      </c>
      <c r="M58" s="6">
        <v>34686600</v>
      </c>
      <c r="N58" s="19">
        <v>3.256283609778244E-3</v>
      </c>
      <c r="O58" s="26"/>
    </row>
    <row r="59" spans="2:15" ht="17.25" thickBot="1">
      <c r="B59" s="20" t="s">
        <v>45</v>
      </c>
      <c r="C59" s="8">
        <v>7745</v>
      </c>
      <c r="D59" s="9">
        <v>351347</v>
      </c>
      <c r="E59" s="9">
        <v>951103900</v>
      </c>
      <c r="F59" s="21">
        <v>1</v>
      </c>
      <c r="G59" s="8">
        <v>3671</v>
      </c>
      <c r="H59" s="9">
        <v>173159</v>
      </c>
      <c r="I59" s="9">
        <v>459824490</v>
      </c>
      <c r="J59" s="21">
        <v>1</v>
      </c>
      <c r="K59" s="8">
        <v>2144</v>
      </c>
      <c r="L59" s="9">
        <v>127753</v>
      </c>
      <c r="M59" s="9">
        <v>375194500</v>
      </c>
      <c r="N59" s="21">
        <v>1</v>
      </c>
    </row>
    <row r="60" spans="2:15">
      <c r="B60" s="78" t="s">
        <v>1</v>
      </c>
      <c r="C60" s="69" t="s">
        <v>47</v>
      </c>
      <c r="D60" s="68"/>
      <c r="E60" s="68"/>
      <c r="F60" s="79"/>
      <c r="G60" s="80" t="s">
        <v>46</v>
      </c>
      <c r="H60" s="81"/>
      <c r="I60" s="81"/>
      <c r="J60" s="82"/>
    </row>
    <row r="61" spans="2:15">
      <c r="B61" s="70"/>
      <c r="C61" s="1" t="s">
        <v>5</v>
      </c>
      <c r="D61" s="2" t="s">
        <v>6</v>
      </c>
      <c r="E61" s="2" t="s">
        <v>7</v>
      </c>
      <c r="F61" s="22" t="s">
        <v>39</v>
      </c>
      <c r="G61" s="1" t="s">
        <v>5</v>
      </c>
      <c r="H61" s="2" t="s">
        <v>6</v>
      </c>
      <c r="I61" s="2" t="s">
        <v>7</v>
      </c>
      <c r="J61" s="3" t="s">
        <v>39</v>
      </c>
    </row>
    <row r="62" spans="2:15">
      <c r="B62" s="4" t="s">
        <v>40</v>
      </c>
      <c r="C62" s="5">
        <v>0</v>
      </c>
      <c r="D62" s="6">
        <v>0</v>
      </c>
      <c r="E62" s="6">
        <v>0</v>
      </c>
      <c r="F62" s="19" t="e">
        <v>#DIV/0!</v>
      </c>
      <c r="G62" s="5">
        <v>185476</v>
      </c>
      <c r="H62" s="6">
        <v>14101560</v>
      </c>
      <c r="I62" s="6">
        <v>37449386200</v>
      </c>
      <c r="J62" s="19">
        <v>0.52259880462633335</v>
      </c>
    </row>
    <row r="63" spans="2:15">
      <c r="B63" s="4" t="s">
        <v>41</v>
      </c>
      <c r="C63" s="5">
        <v>0</v>
      </c>
      <c r="D63" s="6">
        <v>0</v>
      </c>
      <c r="E63" s="6">
        <v>0</v>
      </c>
      <c r="F63" s="19" t="e">
        <v>#DIV/0!</v>
      </c>
      <c r="G63" s="5">
        <v>209942</v>
      </c>
      <c r="H63" s="6">
        <v>7439482</v>
      </c>
      <c r="I63" s="6">
        <v>19637715100</v>
      </c>
      <c r="J63" s="19">
        <v>0.27570456036347213</v>
      </c>
    </row>
    <row r="64" spans="2:15">
      <c r="B64" s="4" t="s">
        <v>42</v>
      </c>
      <c r="C64" s="5">
        <v>0</v>
      </c>
      <c r="D64" s="6">
        <v>0</v>
      </c>
      <c r="E64" s="6">
        <v>0</v>
      </c>
      <c r="F64" s="19" t="e">
        <v>#DIV/0!</v>
      </c>
      <c r="G64" s="5">
        <v>67392</v>
      </c>
      <c r="H64" s="6">
        <v>3311977</v>
      </c>
      <c r="I64" s="6">
        <v>9003055600</v>
      </c>
      <c r="J64" s="19">
        <v>0.12274069118238759</v>
      </c>
    </row>
    <row r="65" spans="2:10">
      <c r="B65" s="4" t="s">
        <v>43</v>
      </c>
      <c r="C65" s="5">
        <v>0</v>
      </c>
      <c r="D65" s="6">
        <v>0</v>
      </c>
      <c r="E65" s="6">
        <v>0</v>
      </c>
      <c r="F65" s="19" t="e">
        <v>#DIV/0!</v>
      </c>
      <c r="G65" s="5">
        <v>35948</v>
      </c>
      <c r="H65" s="6">
        <v>593653</v>
      </c>
      <c r="I65" s="6">
        <v>1631697600</v>
      </c>
      <c r="J65" s="19">
        <v>2.2000569310263309E-2</v>
      </c>
    </row>
    <row r="66" spans="2:10">
      <c r="B66" s="4" t="s">
        <v>44</v>
      </c>
      <c r="C66" s="5">
        <v>0</v>
      </c>
      <c r="D66" s="6">
        <v>0</v>
      </c>
      <c r="E66" s="6">
        <v>0</v>
      </c>
      <c r="F66" s="19" t="e">
        <v>#DIV/0!</v>
      </c>
      <c r="G66" s="5">
        <v>820</v>
      </c>
      <c r="H66" s="6">
        <v>1536857</v>
      </c>
      <c r="I66" s="6">
        <v>11854676297</v>
      </c>
      <c r="J66" s="19">
        <v>5.695537451754365E-2</v>
      </c>
    </row>
    <row r="67" spans="2:10" ht="17.25" thickBot="1">
      <c r="B67" s="20" t="s">
        <v>45</v>
      </c>
      <c r="C67" s="8">
        <v>0</v>
      </c>
      <c r="D67" s="9">
        <v>0</v>
      </c>
      <c r="E67" s="9">
        <v>0</v>
      </c>
      <c r="F67" s="21" t="e">
        <v>#DIV/0!</v>
      </c>
      <c r="G67" s="8">
        <v>499578</v>
      </c>
      <c r="H67" s="9">
        <v>26983529</v>
      </c>
      <c r="I67" s="9">
        <v>79576530797</v>
      </c>
      <c r="J67" s="21">
        <v>1</v>
      </c>
    </row>
    <row r="69" spans="2:10">
      <c r="D69" s="28"/>
      <c r="E69" s="28"/>
    </row>
    <row r="70" spans="2:10">
      <c r="D70" s="29"/>
      <c r="E70" s="29"/>
    </row>
  </sheetData>
  <mergeCells count="34">
    <mergeCell ref="B1:N1"/>
    <mergeCell ref="B2:N2"/>
    <mergeCell ref="B3:B4"/>
    <mergeCell ref="C3:F3"/>
    <mergeCell ref="G3:J3"/>
    <mergeCell ref="K3:N3"/>
    <mergeCell ref="B36:B37"/>
    <mergeCell ref="C36:F36"/>
    <mergeCell ref="G36:J36"/>
    <mergeCell ref="K36:N36"/>
    <mergeCell ref="B11:B12"/>
    <mergeCell ref="C11:F11"/>
    <mergeCell ref="G11:J11"/>
    <mergeCell ref="K11:N11"/>
    <mergeCell ref="B19:B20"/>
    <mergeCell ref="C19:F19"/>
    <mergeCell ref="G19:J19"/>
    <mergeCell ref="K19:N19"/>
    <mergeCell ref="B27:B28"/>
    <mergeCell ref="C27:F27"/>
    <mergeCell ref="G27:J27"/>
    <mergeCell ref="K27:N27"/>
    <mergeCell ref="B35:N35"/>
    <mergeCell ref="K44:N44"/>
    <mergeCell ref="B52:B53"/>
    <mergeCell ref="C52:F52"/>
    <mergeCell ref="G52:J52"/>
    <mergeCell ref="K52:N52"/>
    <mergeCell ref="B60:B61"/>
    <mergeCell ref="C60:F60"/>
    <mergeCell ref="G60:J60"/>
    <mergeCell ref="B44:B45"/>
    <mergeCell ref="C44:F44"/>
    <mergeCell ref="G44:J4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FFDF-DBCD-4431-AEF2-2F1B17001938}">
  <sheetPr>
    <tabColor theme="5" tint="0.79998168889431442"/>
  </sheetPr>
  <dimension ref="A1:J49"/>
  <sheetViews>
    <sheetView workbookViewId="0">
      <selection activeCell="G8" sqref="G8"/>
    </sheetView>
  </sheetViews>
  <sheetFormatPr defaultRowHeight="16.5"/>
  <cols>
    <col min="2" max="2" width="9.5" customWidth="1"/>
    <col min="3" max="3" width="13.625" customWidth="1"/>
    <col min="4" max="4" width="16.625" customWidth="1"/>
    <col min="5" max="5" width="9.5" customWidth="1"/>
    <col min="6" max="6" width="13.625" customWidth="1"/>
    <col min="7" max="7" width="16.625" customWidth="1"/>
    <col min="8" max="8" width="9.5" customWidth="1"/>
    <col min="9" max="9" width="13.625" customWidth="1"/>
    <col min="10" max="10" width="16.625" customWidth="1"/>
  </cols>
  <sheetData>
    <row r="1" spans="1:10" ht="21" thickBot="1">
      <c r="A1" s="94" t="s">
        <v>49</v>
      </c>
      <c r="B1" s="95"/>
      <c r="C1" s="95"/>
      <c r="D1" s="95"/>
      <c r="E1" s="95"/>
      <c r="F1" s="95"/>
      <c r="G1" s="95"/>
      <c r="H1" s="95"/>
      <c r="I1" s="95"/>
      <c r="J1" s="96"/>
    </row>
    <row r="2" spans="1:10" ht="17.25" thickBot="1"/>
    <row r="3" spans="1:10" ht="18.75" customHeight="1" thickBot="1">
      <c r="A3" s="99" t="s">
        <v>54</v>
      </c>
      <c r="B3" s="74" t="s">
        <v>0</v>
      </c>
      <c r="C3" s="75"/>
      <c r="D3" s="75"/>
      <c r="E3" s="75"/>
      <c r="F3" s="75"/>
      <c r="G3" s="75"/>
      <c r="H3" s="75"/>
      <c r="I3" s="75"/>
      <c r="J3" s="110"/>
    </row>
    <row r="4" spans="1:10" ht="18.75" customHeight="1">
      <c r="A4" s="100"/>
      <c r="B4" s="111" t="s">
        <v>4</v>
      </c>
      <c r="C4" s="104"/>
      <c r="D4" s="105"/>
      <c r="E4" s="103" t="s">
        <v>3</v>
      </c>
      <c r="F4" s="104"/>
      <c r="G4" s="105"/>
      <c r="H4" s="103" t="s">
        <v>2</v>
      </c>
      <c r="I4" s="104"/>
      <c r="J4" s="105"/>
    </row>
    <row r="5" spans="1:10" ht="18.75" customHeight="1" thickBot="1">
      <c r="A5" s="102"/>
      <c r="B5" s="47" t="s">
        <v>5</v>
      </c>
      <c r="C5" s="15" t="s">
        <v>6</v>
      </c>
      <c r="D5" s="48" t="s">
        <v>7</v>
      </c>
      <c r="E5" s="49" t="s">
        <v>5</v>
      </c>
      <c r="F5" s="15" t="s">
        <v>6</v>
      </c>
      <c r="G5" s="48" t="s">
        <v>7</v>
      </c>
      <c r="H5" s="49" t="s">
        <v>5</v>
      </c>
      <c r="I5" s="15" t="s">
        <v>6</v>
      </c>
      <c r="J5" s="48" t="s">
        <v>7</v>
      </c>
    </row>
    <row r="6" spans="1:10" ht="18.75" customHeight="1">
      <c r="A6" s="64" t="s">
        <v>55</v>
      </c>
      <c r="B6" s="51">
        <v>78</v>
      </c>
      <c r="C6" s="52">
        <v>135837</v>
      </c>
      <c r="D6" s="53">
        <v>1146681989</v>
      </c>
      <c r="E6" s="54">
        <v>62</v>
      </c>
      <c r="F6" s="52">
        <v>109490</v>
      </c>
      <c r="G6" s="53">
        <v>610397408</v>
      </c>
      <c r="H6" s="54">
        <v>36</v>
      </c>
      <c r="I6" s="52">
        <v>225522</v>
      </c>
      <c r="J6" s="53">
        <v>2677698412</v>
      </c>
    </row>
    <row r="7" spans="1:10" ht="18.75" customHeight="1">
      <c r="A7" s="27" t="s">
        <v>56</v>
      </c>
      <c r="B7" s="51">
        <v>198</v>
      </c>
      <c r="C7" s="52">
        <v>465337</v>
      </c>
      <c r="D7" s="53">
        <v>2288921994</v>
      </c>
      <c r="E7" s="54">
        <v>132</v>
      </c>
      <c r="F7" s="52">
        <v>159686</v>
      </c>
      <c r="G7" s="53">
        <v>1367867507</v>
      </c>
      <c r="H7" s="54">
        <v>45</v>
      </c>
      <c r="I7" s="52">
        <v>74528</v>
      </c>
      <c r="J7" s="53">
        <v>620956166</v>
      </c>
    </row>
    <row r="8" spans="1:10" ht="18.75" customHeight="1" thickBot="1">
      <c r="A8" s="33" t="s">
        <v>10</v>
      </c>
      <c r="B8" s="55">
        <v>271</v>
      </c>
      <c r="C8" s="56">
        <v>396224</v>
      </c>
      <c r="D8" s="57">
        <v>3097792027</v>
      </c>
      <c r="E8" s="58">
        <v>63</v>
      </c>
      <c r="F8" s="56">
        <v>221214</v>
      </c>
      <c r="G8" s="57">
        <v>1917712306</v>
      </c>
      <c r="H8" s="58">
        <v>71</v>
      </c>
      <c r="I8" s="56">
        <v>132422</v>
      </c>
      <c r="J8" s="57">
        <v>711210920</v>
      </c>
    </row>
    <row r="9" spans="1:10" ht="18.75" customHeight="1">
      <c r="A9" s="97" t="s">
        <v>54</v>
      </c>
      <c r="B9" s="103" t="s">
        <v>11</v>
      </c>
      <c r="C9" s="104"/>
      <c r="D9" s="105"/>
      <c r="E9" s="103" t="s">
        <v>13</v>
      </c>
      <c r="F9" s="104"/>
      <c r="G9" s="105"/>
      <c r="H9" s="103" t="s">
        <v>12</v>
      </c>
      <c r="I9" s="104"/>
      <c r="J9" s="105"/>
    </row>
    <row r="10" spans="1:10" ht="18.75" customHeight="1">
      <c r="A10" s="98"/>
      <c r="B10" s="49" t="s">
        <v>5</v>
      </c>
      <c r="C10" s="15" t="s">
        <v>6</v>
      </c>
      <c r="D10" s="48" t="s">
        <v>7</v>
      </c>
      <c r="E10" s="49" t="s">
        <v>5</v>
      </c>
      <c r="F10" s="15" t="s">
        <v>6</v>
      </c>
      <c r="G10" s="48" t="s">
        <v>7</v>
      </c>
      <c r="H10" s="49" t="s">
        <v>5</v>
      </c>
      <c r="I10" s="15" t="s">
        <v>6</v>
      </c>
      <c r="J10" s="48" t="s">
        <v>7</v>
      </c>
    </row>
    <row r="11" spans="1:10" ht="18.75" customHeight="1">
      <c r="A11" s="27" t="s">
        <v>55</v>
      </c>
      <c r="B11" s="51">
        <v>72</v>
      </c>
      <c r="C11" s="52">
        <v>48085</v>
      </c>
      <c r="D11" s="53">
        <v>658407096</v>
      </c>
      <c r="E11" s="54">
        <v>33</v>
      </c>
      <c r="F11" s="52">
        <v>55455</v>
      </c>
      <c r="G11" s="53">
        <v>250994688</v>
      </c>
      <c r="H11" s="54">
        <v>7</v>
      </c>
      <c r="I11" s="52">
        <v>10825</v>
      </c>
      <c r="J11" s="53">
        <v>29253236</v>
      </c>
    </row>
    <row r="12" spans="1:10" ht="18.75" customHeight="1">
      <c r="A12" s="27" t="s">
        <v>56</v>
      </c>
      <c r="B12" s="51">
        <v>47</v>
      </c>
      <c r="C12" s="52">
        <v>33380</v>
      </c>
      <c r="D12" s="53">
        <v>296442958</v>
      </c>
      <c r="E12" s="54">
        <v>35</v>
      </c>
      <c r="F12" s="52">
        <v>33705</v>
      </c>
      <c r="G12" s="53">
        <v>225423871</v>
      </c>
      <c r="H12" s="54">
        <v>26</v>
      </c>
      <c r="I12" s="52">
        <v>61260</v>
      </c>
      <c r="J12" s="53">
        <v>222634622</v>
      </c>
    </row>
    <row r="13" spans="1:10" ht="18.75" customHeight="1" thickBot="1">
      <c r="A13" s="33" t="s">
        <v>10</v>
      </c>
      <c r="B13" s="55">
        <v>74</v>
      </c>
      <c r="C13" s="56">
        <v>131537</v>
      </c>
      <c r="D13" s="57">
        <v>790057425</v>
      </c>
      <c r="E13" s="58">
        <v>55</v>
      </c>
      <c r="F13" s="56">
        <v>90375</v>
      </c>
      <c r="G13" s="57">
        <v>711235467</v>
      </c>
      <c r="H13" s="58">
        <v>31</v>
      </c>
      <c r="I13" s="56">
        <v>76072</v>
      </c>
      <c r="J13" s="57">
        <v>183843673</v>
      </c>
    </row>
    <row r="14" spans="1:10" ht="18.75" customHeight="1">
      <c r="A14" s="97" t="s">
        <v>54</v>
      </c>
      <c r="B14" s="103" t="s">
        <v>16</v>
      </c>
      <c r="C14" s="104"/>
      <c r="D14" s="105"/>
      <c r="E14" s="103" t="s">
        <v>14</v>
      </c>
      <c r="F14" s="104"/>
      <c r="G14" s="105"/>
      <c r="H14" s="103" t="s">
        <v>37</v>
      </c>
      <c r="I14" s="104"/>
      <c r="J14" s="105"/>
    </row>
    <row r="15" spans="1:10" ht="18.75" customHeight="1">
      <c r="A15" s="98"/>
      <c r="B15" s="49" t="s">
        <v>5</v>
      </c>
      <c r="C15" s="15" t="s">
        <v>6</v>
      </c>
      <c r="D15" s="48" t="s">
        <v>7</v>
      </c>
      <c r="E15" s="49" t="s">
        <v>5</v>
      </c>
      <c r="F15" s="15" t="s">
        <v>6</v>
      </c>
      <c r="G15" s="48" t="s">
        <v>7</v>
      </c>
      <c r="H15" s="49" t="s">
        <v>5</v>
      </c>
      <c r="I15" s="15" t="s">
        <v>6</v>
      </c>
      <c r="J15" s="48" t="s">
        <v>7</v>
      </c>
    </row>
    <row r="16" spans="1:10" ht="18.75" customHeight="1">
      <c r="A16" s="27" t="s">
        <v>55</v>
      </c>
      <c r="B16" s="51">
        <v>2</v>
      </c>
      <c r="C16" s="52">
        <v>3300</v>
      </c>
      <c r="D16" s="53">
        <v>15504000</v>
      </c>
      <c r="E16" s="54">
        <v>39</v>
      </c>
      <c r="F16" s="52">
        <v>47473</v>
      </c>
      <c r="G16" s="53">
        <v>289725480</v>
      </c>
      <c r="H16" s="54">
        <v>1</v>
      </c>
      <c r="I16" s="52">
        <v>776</v>
      </c>
      <c r="J16" s="53">
        <v>43360000</v>
      </c>
    </row>
    <row r="17" spans="1:10" ht="18.75" customHeight="1">
      <c r="A17" s="27" t="s">
        <v>56</v>
      </c>
      <c r="B17" s="51">
        <v>5</v>
      </c>
      <c r="C17" s="52">
        <v>27512</v>
      </c>
      <c r="D17" s="53">
        <v>167088725</v>
      </c>
      <c r="E17" s="54">
        <v>35</v>
      </c>
      <c r="F17" s="52">
        <v>56444</v>
      </c>
      <c r="G17" s="53">
        <v>332744430</v>
      </c>
      <c r="H17" s="54">
        <v>5</v>
      </c>
      <c r="I17" s="52">
        <v>7031</v>
      </c>
      <c r="J17" s="53">
        <v>31273436</v>
      </c>
    </row>
    <row r="18" spans="1:10" ht="18.75" customHeight="1" thickBot="1">
      <c r="A18" s="33" t="s">
        <v>10</v>
      </c>
      <c r="B18" s="55">
        <v>36</v>
      </c>
      <c r="C18" s="56">
        <v>39369</v>
      </c>
      <c r="D18" s="57">
        <v>452318713</v>
      </c>
      <c r="E18" s="58">
        <v>36</v>
      </c>
      <c r="F18" s="56">
        <v>35668</v>
      </c>
      <c r="G18" s="57">
        <v>832367661</v>
      </c>
      <c r="H18" s="58">
        <v>20</v>
      </c>
      <c r="I18" s="56">
        <v>27918</v>
      </c>
      <c r="J18" s="57">
        <v>319954304</v>
      </c>
    </row>
    <row r="19" spans="1:10" ht="18.75" customHeight="1">
      <c r="A19" s="97" t="s">
        <v>54</v>
      </c>
      <c r="B19" s="103" t="s">
        <v>17</v>
      </c>
      <c r="C19" s="104"/>
      <c r="D19" s="105"/>
      <c r="E19" s="103" t="s">
        <v>18</v>
      </c>
      <c r="F19" s="104"/>
      <c r="G19" s="105"/>
      <c r="H19" s="103" t="s">
        <v>15</v>
      </c>
      <c r="I19" s="104"/>
      <c r="J19" s="105"/>
    </row>
    <row r="20" spans="1:10" ht="18.75" customHeight="1">
      <c r="A20" s="98"/>
      <c r="B20" s="49" t="s">
        <v>5</v>
      </c>
      <c r="C20" s="15" t="s">
        <v>6</v>
      </c>
      <c r="D20" s="48" t="s">
        <v>7</v>
      </c>
      <c r="E20" s="49" t="s">
        <v>5</v>
      </c>
      <c r="F20" s="15" t="s">
        <v>6</v>
      </c>
      <c r="G20" s="48" t="s">
        <v>7</v>
      </c>
      <c r="H20" s="49" t="s">
        <v>5</v>
      </c>
      <c r="I20" s="15" t="s">
        <v>6</v>
      </c>
      <c r="J20" s="48" t="s">
        <v>7</v>
      </c>
    </row>
    <row r="21" spans="1:10" ht="18.75" customHeight="1">
      <c r="A21" s="27" t="s">
        <v>55</v>
      </c>
      <c r="B21" s="51">
        <v>0</v>
      </c>
      <c r="C21" s="52">
        <v>0</v>
      </c>
      <c r="D21" s="53">
        <v>0</v>
      </c>
      <c r="E21" s="54">
        <v>0</v>
      </c>
      <c r="F21" s="52">
        <v>0</v>
      </c>
      <c r="G21" s="53">
        <v>0</v>
      </c>
      <c r="H21" s="54">
        <v>3</v>
      </c>
      <c r="I21" s="52">
        <v>2470</v>
      </c>
      <c r="J21" s="53">
        <v>11730200</v>
      </c>
    </row>
    <row r="22" spans="1:10" ht="18.75" customHeight="1">
      <c r="A22" s="27" t="s">
        <v>56</v>
      </c>
      <c r="B22" s="51">
        <v>29</v>
      </c>
      <c r="C22" s="52">
        <v>64565</v>
      </c>
      <c r="D22" s="53">
        <v>183993571</v>
      </c>
      <c r="E22" s="54">
        <v>0</v>
      </c>
      <c r="F22" s="52">
        <v>0</v>
      </c>
      <c r="G22" s="53">
        <v>0</v>
      </c>
      <c r="H22" s="54">
        <v>4</v>
      </c>
      <c r="I22" s="52">
        <v>3501</v>
      </c>
      <c r="J22" s="53">
        <v>43968560</v>
      </c>
    </row>
    <row r="23" spans="1:10" ht="18.75" customHeight="1" thickBot="1">
      <c r="A23" s="33" t="s">
        <v>10</v>
      </c>
      <c r="B23" s="55">
        <v>37</v>
      </c>
      <c r="C23" s="56">
        <v>22446</v>
      </c>
      <c r="D23" s="57">
        <v>205383595</v>
      </c>
      <c r="E23" s="58">
        <v>12</v>
      </c>
      <c r="F23" s="56">
        <v>21259</v>
      </c>
      <c r="G23" s="57">
        <v>476601511</v>
      </c>
      <c r="H23" s="58">
        <v>14</v>
      </c>
      <c r="I23" s="56">
        <v>10127</v>
      </c>
      <c r="J23" s="57">
        <v>90198990</v>
      </c>
    </row>
    <row r="24" spans="1:10" ht="18.75" customHeight="1" thickBot="1">
      <c r="A24" s="99" t="s">
        <v>54</v>
      </c>
      <c r="B24" s="74" t="s">
        <v>19</v>
      </c>
      <c r="C24" s="75"/>
      <c r="D24" s="75"/>
      <c r="E24" s="75"/>
      <c r="F24" s="75"/>
      <c r="G24" s="75"/>
      <c r="H24" s="75"/>
      <c r="I24" s="75"/>
      <c r="J24" s="110"/>
    </row>
    <row r="25" spans="1:10" ht="18.75" customHeight="1">
      <c r="A25" s="100"/>
      <c r="B25" s="103" t="s">
        <v>22</v>
      </c>
      <c r="C25" s="104"/>
      <c r="D25" s="105"/>
      <c r="E25" s="103" t="s">
        <v>23</v>
      </c>
      <c r="F25" s="104"/>
      <c r="G25" s="105"/>
      <c r="H25" s="103" t="s">
        <v>21</v>
      </c>
      <c r="I25" s="104"/>
      <c r="J25" s="105"/>
    </row>
    <row r="26" spans="1:10" ht="18.75" customHeight="1">
      <c r="A26" s="101"/>
      <c r="B26" s="49" t="s">
        <v>5</v>
      </c>
      <c r="C26" s="15" t="s">
        <v>6</v>
      </c>
      <c r="D26" s="48" t="s">
        <v>7</v>
      </c>
      <c r="E26" s="49" t="s">
        <v>5</v>
      </c>
      <c r="F26" s="15" t="s">
        <v>6</v>
      </c>
      <c r="G26" s="48" t="s">
        <v>7</v>
      </c>
      <c r="H26" s="49" t="s">
        <v>5</v>
      </c>
      <c r="I26" s="15" t="s">
        <v>6</v>
      </c>
      <c r="J26" s="48" t="s">
        <v>7</v>
      </c>
    </row>
    <row r="27" spans="1:10" ht="18.75" customHeight="1">
      <c r="A27" s="27" t="s">
        <v>55</v>
      </c>
      <c r="B27" s="51">
        <v>1</v>
      </c>
      <c r="C27" s="52">
        <v>1</v>
      </c>
      <c r="D27" s="53">
        <v>10000</v>
      </c>
      <c r="E27" s="54">
        <v>1</v>
      </c>
      <c r="F27" s="52">
        <v>10</v>
      </c>
      <c r="G27" s="53">
        <v>190000</v>
      </c>
      <c r="H27" s="54">
        <v>8</v>
      </c>
      <c r="I27" s="52">
        <v>14889</v>
      </c>
      <c r="J27" s="53">
        <v>168577348</v>
      </c>
    </row>
    <row r="28" spans="1:10" ht="18.75" customHeight="1">
      <c r="A28" s="27" t="s">
        <v>56</v>
      </c>
      <c r="B28" s="51">
        <v>24</v>
      </c>
      <c r="C28" s="52">
        <v>48844</v>
      </c>
      <c r="D28" s="53">
        <v>204072932</v>
      </c>
      <c r="E28" s="54">
        <v>3</v>
      </c>
      <c r="F28" s="52">
        <v>4015</v>
      </c>
      <c r="G28" s="53">
        <v>95000360</v>
      </c>
      <c r="H28" s="54">
        <v>5</v>
      </c>
      <c r="I28" s="52">
        <v>27156</v>
      </c>
      <c r="J28" s="53">
        <v>132378343</v>
      </c>
    </row>
    <row r="29" spans="1:10" ht="18.75" customHeight="1" thickBot="1">
      <c r="A29" s="33" t="s">
        <v>10</v>
      </c>
      <c r="B29" s="55">
        <v>34</v>
      </c>
      <c r="C29" s="56">
        <v>167839</v>
      </c>
      <c r="D29" s="57">
        <v>1399000357</v>
      </c>
      <c r="E29" s="58">
        <v>21</v>
      </c>
      <c r="F29" s="56">
        <v>54386</v>
      </c>
      <c r="G29" s="57">
        <v>281698345</v>
      </c>
      <c r="H29" s="58">
        <v>10</v>
      </c>
      <c r="I29" s="56">
        <v>43197</v>
      </c>
      <c r="J29" s="57">
        <v>142384436</v>
      </c>
    </row>
    <row r="30" spans="1:10" ht="18.75" customHeight="1">
      <c r="A30" s="97" t="s">
        <v>54</v>
      </c>
      <c r="B30" s="103" t="s">
        <v>25</v>
      </c>
      <c r="C30" s="104"/>
      <c r="D30" s="105"/>
      <c r="E30" s="103" t="s">
        <v>24</v>
      </c>
      <c r="F30" s="104"/>
      <c r="G30" s="105"/>
      <c r="H30" s="103" t="s">
        <v>27</v>
      </c>
      <c r="I30" s="104"/>
      <c r="J30" s="105"/>
    </row>
    <row r="31" spans="1:10" ht="18.75" customHeight="1">
      <c r="A31" s="98"/>
      <c r="B31" s="49" t="s">
        <v>5</v>
      </c>
      <c r="C31" s="15" t="s">
        <v>6</v>
      </c>
      <c r="D31" s="48" t="s">
        <v>7</v>
      </c>
      <c r="E31" s="49" t="s">
        <v>5</v>
      </c>
      <c r="F31" s="15" t="s">
        <v>6</v>
      </c>
      <c r="G31" s="48" t="s">
        <v>7</v>
      </c>
      <c r="H31" s="49" t="s">
        <v>5</v>
      </c>
      <c r="I31" s="15" t="s">
        <v>6</v>
      </c>
      <c r="J31" s="48" t="s">
        <v>7</v>
      </c>
    </row>
    <row r="32" spans="1:10" ht="18.75" customHeight="1">
      <c r="A32" s="27" t="s">
        <v>55</v>
      </c>
      <c r="B32" s="51">
        <v>0</v>
      </c>
      <c r="C32" s="52">
        <v>0</v>
      </c>
      <c r="D32" s="53">
        <v>0</v>
      </c>
      <c r="E32" s="54">
        <v>1</v>
      </c>
      <c r="F32" s="52">
        <v>157</v>
      </c>
      <c r="G32" s="53">
        <v>6825480</v>
      </c>
      <c r="H32" s="54">
        <v>0</v>
      </c>
      <c r="I32" s="52">
        <v>0</v>
      </c>
      <c r="J32" s="53">
        <v>0</v>
      </c>
    </row>
    <row r="33" spans="1:10" ht="18.75" customHeight="1">
      <c r="A33" s="27" t="s">
        <v>56</v>
      </c>
      <c r="B33" s="51">
        <v>0</v>
      </c>
      <c r="C33" s="52">
        <v>0</v>
      </c>
      <c r="D33" s="53">
        <v>0</v>
      </c>
      <c r="E33" s="54">
        <v>1</v>
      </c>
      <c r="F33" s="52">
        <v>700</v>
      </c>
      <c r="G33" s="53">
        <v>2100000</v>
      </c>
      <c r="H33" s="54">
        <v>0</v>
      </c>
      <c r="I33" s="52">
        <v>0</v>
      </c>
      <c r="J33" s="53">
        <v>0</v>
      </c>
    </row>
    <row r="34" spans="1:10" ht="18.75" customHeight="1" thickBot="1">
      <c r="A34" s="33" t="s">
        <v>10</v>
      </c>
      <c r="B34" s="55">
        <v>16</v>
      </c>
      <c r="C34" s="56">
        <v>28390</v>
      </c>
      <c r="D34" s="57">
        <v>88861290</v>
      </c>
      <c r="E34" s="58">
        <v>9</v>
      </c>
      <c r="F34" s="56">
        <v>20644</v>
      </c>
      <c r="G34" s="57">
        <v>55629560</v>
      </c>
      <c r="H34" s="58">
        <v>10</v>
      </c>
      <c r="I34" s="56">
        <v>11114</v>
      </c>
      <c r="J34" s="57">
        <v>38146390</v>
      </c>
    </row>
    <row r="35" spans="1:10" ht="18.75" customHeight="1">
      <c r="A35" s="97" t="s">
        <v>54</v>
      </c>
      <c r="B35" s="103" t="s">
        <v>20</v>
      </c>
      <c r="C35" s="104"/>
      <c r="D35" s="105"/>
      <c r="E35" s="103" t="s">
        <v>28</v>
      </c>
      <c r="F35" s="104"/>
      <c r="G35" s="105"/>
      <c r="H35" s="103" t="s">
        <v>26</v>
      </c>
      <c r="I35" s="104"/>
      <c r="J35" s="105"/>
    </row>
    <row r="36" spans="1:10" ht="18.75" customHeight="1">
      <c r="A36" s="98"/>
      <c r="B36" s="49" t="s">
        <v>5</v>
      </c>
      <c r="C36" s="15" t="s">
        <v>6</v>
      </c>
      <c r="D36" s="48" t="s">
        <v>7</v>
      </c>
      <c r="E36" s="49" t="s">
        <v>5</v>
      </c>
      <c r="F36" s="15" t="s">
        <v>6</v>
      </c>
      <c r="G36" s="48" t="s">
        <v>7</v>
      </c>
      <c r="H36" s="49" t="s">
        <v>5</v>
      </c>
      <c r="I36" s="15" t="s">
        <v>6</v>
      </c>
      <c r="J36" s="48" t="s">
        <v>7</v>
      </c>
    </row>
    <row r="37" spans="1:10" ht="18.75" customHeight="1">
      <c r="A37" s="27" t="s">
        <v>55</v>
      </c>
      <c r="B37" s="51">
        <v>6</v>
      </c>
      <c r="C37" s="52">
        <v>3075</v>
      </c>
      <c r="D37" s="53">
        <v>4952000</v>
      </c>
      <c r="E37" s="54">
        <v>0</v>
      </c>
      <c r="F37" s="52">
        <v>0</v>
      </c>
      <c r="G37" s="53">
        <v>0</v>
      </c>
      <c r="H37" s="54">
        <v>0</v>
      </c>
      <c r="I37" s="52">
        <v>0</v>
      </c>
      <c r="J37" s="53">
        <v>0</v>
      </c>
    </row>
    <row r="38" spans="1:10" ht="18.75" customHeight="1">
      <c r="A38" s="27" t="s">
        <v>56</v>
      </c>
      <c r="B38" s="51">
        <v>6</v>
      </c>
      <c r="C38" s="52">
        <v>8026</v>
      </c>
      <c r="D38" s="53">
        <v>28418330</v>
      </c>
      <c r="E38" s="54">
        <v>0</v>
      </c>
      <c r="F38" s="52">
        <v>0</v>
      </c>
      <c r="G38" s="53">
        <v>0</v>
      </c>
      <c r="H38" s="54">
        <v>0</v>
      </c>
      <c r="I38" s="52">
        <v>0</v>
      </c>
      <c r="J38" s="53">
        <v>0</v>
      </c>
    </row>
    <row r="39" spans="1:10" ht="18.75" customHeight="1" thickBot="1">
      <c r="A39" s="33" t="s">
        <v>10</v>
      </c>
      <c r="B39" s="55">
        <v>14</v>
      </c>
      <c r="C39" s="56">
        <v>6240</v>
      </c>
      <c r="D39" s="57">
        <v>25592727</v>
      </c>
      <c r="E39" s="61">
        <v>1</v>
      </c>
      <c r="F39" s="62">
        <v>416</v>
      </c>
      <c r="G39" s="63">
        <v>34686600</v>
      </c>
      <c r="H39" s="58">
        <v>0</v>
      </c>
      <c r="I39" s="56">
        <v>0</v>
      </c>
      <c r="J39" s="57">
        <v>0</v>
      </c>
    </row>
    <row r="40" spans="1:10">
      <c r="A40" s="97" t="s">
        <v>54</v>
      </c>
      <c r="B40" s="103" t="s">
        <v>47</v>
      </c>
      <c r="C40" s="104"/>
      <c r="D40" s="106"/>
      <c r="E40" s="107" t="s">
        <v>38</v>
      </c>
      <c r="F40" s="108"/>
      <c r="G40" s="109"/>
    </row>
    <row r="41" spans="1:10">
      <c r="A41" s="98"/>
      <c r="B41" s="49" t="s">
        <v>5</v>
      </c>
      <c r="C41" s="15" t="s">
        <v>6</v>
      </c>
      <c r="D41" s="50" t="s">
        <v>7</v>
      </c>
      <c r="E41" s="49" t="s">
        <v>5</v>
      </c>
      <c r="F41" s="15" t="s">
        <v>6</v>
      </c>
      <c r="G41" s="48" t="s">
        <v>7</v>
      </c>
    </row>
    <row r="42" spans="1:10" ht="18.75" customHeight="1">
      <c r="A42" s="27" t="s">
        <v>55</v>
      </c>
      <c r="B42" s="51">
        <v>0</v>
      </c>
      <c r="C42" s="52">
        <v>0</v>
      </c>
      <c r="D42" s="59">
        <v>0</v>
      </c>
      <c r="E42" s="5">
        <f t="shared" ref="E42:G44" si="0">B6+E6+H6+B11+E11+H11+B16+E16+H16+B21+E21+H21+B27+E27+H27+B32+E32+H32+B37+E37+H37+B42</f>
        <v>350</v>
      </c>
      <c r="F42" s="6">
        <f t="shared" si="0"/>
        <v>657365</v>
      </c>
      <c r="G42" s="7">
        <f t="shared" si="0"/>
        <v>5914307337</v>
      </c>
    </row>
    <row r="43" spans="1:10" ht="18.75" customHeight="1">
      <c r="A43" s="27" t="s">
        <v>56</v>
      </c>
      <c r="B43" s="51">
        <v>0</v>
      </c>
      <c r="C43" s="52">
        <v>0</v>
      </c>
      <c r="D43" s="59">
        <v>0</v>
      </c>
      <c r="E43" s="5">
        <f t="shared" si="0"/>
        <v>600</v>
      </c>
      <c r="F43" s="6">
        <f t="shared" si="0"/>
        <v>1075690</v>
      </c>
      <c r="G43" s="7">
        <f t="shared" si="0"/>
        <v>6243285805</v>
      </c>
    </row>
    <row r="44" spans="1:10" ht="17.25" thickBot="1">
      <c r="A44" s="33" t="s">
        <v>10</v>
      </c>
      <c r="B44" s="55">
        <v>0</v>
      </c>
      <c r="C44" s="56">
        <v>0</v>
      </c>
      <c r="D44" s="60">
        <v>0</v>
      </c>
      <c r="E44" s="8">
        <f t="shared" si="0"/>
        <v>835</v>
      </c>
      <c r="F44" s="9">
        <f t="shared" si="0"/>
        <v>1536857</v>
      </c>
      <c r="G44" s="10">
        <f t="shared" si="0"/>
        <v>11854676297</v>
      </c>
    </row>
    <row r="47" spans="1:10">
      <c r="E47" s="18"/>
      <c r="F47" s="18"/>
      <c r="G47" s="18"/>
    </row>
    <row r="49" spans="5:7">
      <c r="E49" s="18"/>
      <c r="F49" s="18"/>
      <c r="G49" s="18"/>
    </row>
  </sheetData>
  <mergeCells count="34">
    <mergeCell ref="B9:D9"/>
    <mergeCell ref="E9:G9"/>
    <mergeCell ref="H9:J9"/>
    <mergeCell ref="B3:J3"/>
    <mergeCell ref="B4:D4"/>
    <mergeCell ref="E4:G4"/>
    <mergeCell ref="H4:J4"/>
    <mergeCell ref="B14:D14"/>
    <mergeCell ref="E14:G14"/>
    <mergeCell ref="H14:J14"/>
    <mergeCell ref="B19:D19"/>
    <mergeCell ref="E19:G19"/>
    <mergeCell ref="H19:J19"/>
    <mergeCell ref="E25:G25"/>
    <mergeCell ref="H25:J25"/>
    <mergeCell ref="B30:D30"/>
    <mergeCell ref="E30:G30"/>
    <mergeCell ref="H30:J30"/>
    <mergeCell ref="A1:J1"/>
    <mergeCell ref="A30:A31"/>
    <mergeCell ref="A24:A26"/>
    <mergeCell ref="A35:A36"/>
    <mergeCell ref="A40:A41"/>
    <mergeCell ref="A3:A5"/>
    <mergeCell ref="A9:A10"/>
    <mergeCell ref="A14:A15"/>
    <mergeCell ref="A19:A20"/>
    <mergeCell ref="B35:D35"/>
    <mergeCell ref="E35:G35"/>
    <mergeCell ref="H35:J35"/>
    <mergeCell ref="B40:D40"/>
    <mergeCell ref="E40:G40"/>
    <mergeCell ref="B24:J24"/>
    <mergeCell ref="B25:D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C788-EFF5-4FE8-8D1F-917AAA3FD651}">
  <sheetPr>
    <tabColor theme="5" tint="0.79998168889431442"/>
  </sheetPr>
  <dimension ref="B1:G38"/>
  <sheetViews>
    <sheetView workbookViewId="0">
      <selection activeCell="K16" sqref="K16"/>
    </sheetView>
  </sheetViews>
  <sheetFormatPr defaultRowHeight="16.5"/>
  <cols>
    <col min="2" max="2" width="9.25" customWidth="1"/>
    <col min="3" max="3" width="10.75" style="13" bestFit="1" customWidth="1"/>
    <col min="4" max="4" width="14.375" customWidth="1"/>
  </cols>
  <sheetData>
    <row r="1" spans="2:7" ht="20.25">
      <c r="B1" s="115" t="s">
        <v>53</v>
      </c>
      <c r="C1" s="115"/>
      <c r="D1" s="115"/>
      <c r="E1" s="46"/>
      <c r="F1" s="46"/>
      <c r="G1" s="46"/>
    </row>
    <row r="2" spans="2:7">
      <c r="B2" s="15" t="s">
        <v>33</v>
      </c>
      <c r="C2" s="16" t="s">
        <v>34</v>
      </c>
      <c r="D2" s="16" t="s">
        <v>35</v>
      </c>
    </row>
    <row r="3" spans="2:7">
      <c r="B3" s="112" t="s">
        <v>8</v>
      </c>
      <c r="C3" s="6">
        <v>1</v>
      </c>
      <c r="D3" s="17">
        <v>259644</v>
      </c>
    </row>
    <row r="4" spans="2:7">
      <c r="B4" s="113"/>
      <c r="C4" s="6">
        <v>2</v>
      </c>
      <c r="D4" s="17">
        <v>265628</v>
      </c>
    </row>
    <row r="5" spans="2:7">
      <c r="B5" s="113"/>
      <c r="C5" s="6">
        <v>3</v>
      </c>
      <c r="D5" s="17">
        <v>350704</v>
      </c>
    </row>
    <row r="6" spans="2:7">
      <c r="B6" s="113"/>
      <c r="C6" s="6">
        <v>4</v>
      </c>
      <c r="D6" s="17">
        <v>331327</v>
      </c>
    </row>
    <row r="7" spans="2:7">
      <c r="B7" s="113"/>
      <c r="C7" s="6">
        <v>5</v>
      </c>
      <c r="D7" s="17">
        <v>344182</v>
      </c>
    </row>
    <row r="8" spans="2:7">
      <c r="B8" s="113"/>
      <c r="C8" s="6">
        <v>6</v>
      </c>
      <c r="D8" s="17">
        <v>369640</v>
      </c>
    </row>
    <row r="9" spans="2:7">
      <c r="B9" s="113"/>
      <c r="C9" s="6">
        <v>7</v>
      </c>
      <c r="D9" s="17">
        <v>281137</v>
      </c>
    </row>
    <row r="10" spans="2:7">
      <c r="B10" s="113"/>
      <c r="C10" s="6">
        <v>8</v>
      </c>
      <c r="D10" s="17">
        <v>244484</v>
      </c>
    </row>
    <row r="11" spans="2:7">
      <c r="B11" s="113"/>
      <c r="C11" s="6">
        <v>9</v>
      </c>
      <c r="D11" s="17">
        <v>245888</v>
      </c>
    </row>
    <row r="12" spans="2:7">
      <c r="B12" s="113"/>
      <c r="C12" s="6">
        <v>10</v>
      </c>
      <c r="D12" s="17">
        <v>378650</v>
      </c>
    </row>
    <row r="13" spans="2:7">
      <c r="B13" s="113"/>
      <c r="C13" s="6">
        <v>11</v>
      </c>
      <c r="D13" s="17">
        <v>398429</v>
      </c>
    </row>
    <row r="14" spans="2:7">
      <c r="B14" s="114"/>
      <c r="C14" s="6">
        <v>12</v>
      </c>
      <c r="D14" s="17">
        <v>312726</v>
      </c>
    </row>
    <row r="15" spans="2:7">
      <c r="B15" s="112" t="s">
        <v>9</v>
      </c>
      <c r="C15" s="6">
        <v>1</v>
      </c>
      <c r="D15" s="17">
        <v>367385</v>
      </c>
    </row>
    <row r="16" spans="2:7">
      <c r="B16" s="113"/>
      <c r="C16" s="6">
        <v>2</v>
      </c>
      <c r="D16" s="17">
        <v>315419</v>
      </c>
    </row>
    <row r="17" spans="2:4">
      <c r="B17" s="113"/>
      <c r="C17" s="6">
        <v>3</v>
      </c>
      <c r="D17" s="17">
        <v>374518</v>
      </c>
    </row>
    <row r="18" spans="2:4">
      <c r="B18" s="113"/>
      <c r="C18" s="6">
        <v>4</v>
      </c>
      <c r="D18" s="17">
        <v>495365</v>
      </c>
    </row>
    <row r="19" spans="2:4">
      <c r="B19" s="113"/>
      <c r="C19" s="6">
        <v>5</v>
      </c>
      <c r="D19" s="17">
        <v>459321</v>
      </c>
    </row>
    <row r="20" spans="2:4">
      <c r="B20" s="113"/>
      <c r="C20" s="6">
        <v>6</v>
      </c>
      <c r="D20" s="17">
        <v>443364</v>
      </c>
    </row>
    <row r="21" spans="2:4">
      <c r="B21" s="113"/>
      <c r="C21" s="6">
        <v>7</v>
      </c>
      <c r="D21" s="17">
        <v>487307</v>
      </c>
    </row>
    <row r="22" spans="2:4">
      <c r="B22" s="113"/>
      <c r="C22" s="6">
        <v>8</v>
      </c>
      <c r="D22" s="17">
        <v>470659</v>
      </c>
    </row>
    <row r="23" spans="2:4">
      <c r="B23" s="113"/>
      <c r="C23" s="6">
        <v>9</v>
      </c>
      <c r="D23" s="17">
        <v>361551</v>
      </c>
    </row>
    <row r="24" spans="2:4">
      <c r="B24" s="113"/>
      <c r="C24" s="6">
        <v>10</v>
      </c>
      <c r="D24" s="17">
        <v>544458</v>
      </c>
    </row>
    <row r="25" spans="2:4">
      <c r="B25" s="113"/>
      <c r="C25" s="6">
        <v>11</v>
      </c>
      <c r="D25" s="17">
        <v>553901</v>
      </c>
    </row>
    <row r="26" spans="2:4">
      <c r="B26" s="114"/>
      <c r="C26" s="6">
        <v>12</v>
      </c>
      <c r="D26" s="17">
        <v>577452</v>
      </c>
    </row>
    <row r="27" spans="2:4">
      <c r="B27" s="112" t="s">
        <v>36</v>
      </c>
      <c r="C27" s="6">
        <v>1</v>
      </c>
      <c r="D27" s="17">
        <v>489030</v>
      </c>
    </row>
    <row r="28" spans="2:4">
      <c r="B28" s="113"/>
      <c r="C28" s="6">
        <v>2</v>
      </c>
      <c r="D28" s="17">
        <v>453074</v>
      </c>
    </row>
    <row r="29" spans="2:4">
      <c r="B29" s="113"/>
      <c r="C29" s="6">
        <v>3</v>
      </c>
      <c r="D29" s="17">
        <v>608332</v>
      </c>
    </row>
    <row r="30" spans="2:4">
      <c r="B30" s="113"/>
      <c r="C30" s="6">
        <v>4</v>
      </c>
      <c r="D30" s="17">
        <v>579642</v>
      </c>
    </row>
    <row r="31" spans="2:4">
      <c r="B31" s="113"/>
      <c r="C31" s="6">
        <v>5</v>
      </c>
      <c r="D31" s="17">
        <v>704077</v>
      </c>
    </row>
    <row r="32" spans="2:4">
      <c r="B32" s="113"/>
      <c r="C32" s="6">
        <v>6</v>
      </c>
      <c r="D32" s="17">
        <v>681782</v>
      </c>
    </row>
    <row r="33" spans="2:4">
      <c r="B33" s="113"/>
      <c r="C33" s="6">
        <v>7</v>
      </c>
      <c r="D33" s="17">
        <v>583974</v>
      </c>
    </row>
    <row r="34" spans="2:4">
      <c r="B34" s="113"/>
      <c r="C34" s="6">
        <v>8</v>
      </c>
      <c r="D34" s="17">
        <v>533448</v>
      </c>
    </row>
    <row r="35" spans="2:4">
      <c r="B35" s="113"/>
      <c r="C35" s="6">
        <v>9</v>
      </c>
      <c r="D35" s="17">
        <v>487929</v>
      </c>
    </row>
    <row r="36" spans="2:4">
      <c r="B36" s="113"/>
      <c r="C36" s="6">
        <v>10</v>
      </c>
      <c r="D36" s="17">
        <v>740003</v>
      </c>
    </row>
    <row r="37" spans="2:4">
      <c r="B37" s="113"/>
      <c r="C37" s="6">
        <v>11</v>
      </c>
      <c r="D37" s="17">
        <v>818212</v>
      </c>
    </row>
    <row r="38" spans="2:4">
      <c r="B38" s="114"/>
      <c r="C38" s="6">
        <v>12</v>
      </c>
      <c r="D38" s="17">
        <v>759979</v>
      </c>
    </row>
  </sheetData>
  <mergeCells count="4">
    <mergeCell ref="B3:B14"/>
    <mergeCell ref="B15:B26"/>
    <mergeCell ref="B27:B38"/>
    <mergeCell ref="B1:D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7DA8-A4AB-4621-B23D-A4CC6E3EA6C5}">
  <sheetPr>
    <tabColor theme="5" tint="0.79998168889431442"/>
  </sheetPr>
  <dimension ref="B1:K43"/>
  <sheetViews>
    <sheetView topLeftCell="A18" workbookViewId="0">
      <selection activeCell="G14" sqref="G14"/>
    </sheetView>
  </sheetViews>
  <sheetFormatPr defaultRowHeight="16.5"/>
  <cols>
    <col min="2" max="2" width="19.125" customWidth="1"/>
    <col min="3" max="3" width="10.5" bestFit="1" customWidth="1"/>
    <col min="4" max="4" width="12.375" bestFit="1" customWidth="1"/>
    <col min="5" max="5" width="16" customWidth="1"/>
    <col min="6" max="6" width="10.125" customWidth="1"/>
    <col min="7" max="7" width="13" customWidth="1"/>
    <col min="8" max="8" width="17" customWidth="1"/>
    <col min="9" max="9" width="9.125" bestFit="1" customWidth="1"/>
    <col min="10" max="10" width="11.625" customWidth="1"/>
    <col min="11" max="11" width="14.625" bestFit="1" customWidth="1"/>
  </cols>
  <sheetData>
    <row r="1" spans="2:11" ht="21" thickBot="1">
      <c r="B1" s="86" t="s">
        <v>48</v>
      </c>
      <c r="C1" s="87"/>
      <c r="D1" s="87"/>
      <c r="E1" s="87"/>
      <c r="F1" s="87"/>
      <c r="G1" s="87"/>
      <c r="H1" s="87"/>
      <c r="I1" s="87"/>
      <c r="J1" s="87"/>
      <c r="K1" s="88"/>
    </row>
    <row r="2" spans="2:11" ht="18.75" customHeight="1" thickBot="1">
      <c r="B2" s="84" t="s">
        <v>0</v>
      </c>
      <c r="C2" s="89"/>
      <c r="D2" s="89"/>
      <c r="E2" s="89"/>
      <c r="F2" s="89"/>
      <c r="G2" s="89"/>
      <c r="H2" s="89"/>
      <c r="I2" s="89"/>
      <c r="J2" s="89"/>
      <c r="K2" s="90"/>
    </row>
    <row r="3" spans="2:11" ht="18.75" customHeight="1">
      <c r="B3" s="78" t="s">
        <v>54</v>
      </c>
      <c r="C3" s="69" t="s">
        <v>2</v>
      </c>
      <c r="D3" s="68"/>
      <c r="E3" s="83"/>
      <c r="F3" s="69" t="s">
        <v>3</v>
      </c>
      <c r="G3" s="68"/>
      <c r="H3" s="83"/>
      <c r="I3" s="69" t="s">
        <v>4</v>
      </c>
      <c r="J3" s="68"/>
      <c r="K3" s="83"/>
    </row>
    <row r="4" spans="2:11" ht="18.75" customHeight="1">
      <c r="B4" s="70"/>
      <c r="C4" s="1" t="s">
        <v>5</v>
      </c>
      <c r="D4" s="2" t="s">
        <v>6</v>
      </c>
      <c r="E4" s="3" t="s">
        <v>7</v>
      </c>
      <c r="F4" s="1" t="s">
        <v>5</v>
      </c>
      <c r="G4" s="2" t="s">
        <v>6</v>
      </c>
      <c r="H4" s="3" t="s">
        <v>7</v>
      </c>
      <c r="I4" s="1" t="s">
        <v>5</v>
      </c>
      <c r="J4" s="2" t="s">
        <v>6</v>
      </c>
      <c r="K4" s="3" t="s">
        <v>7</v>
      </c>
    </row>
    <row r="5" spans="2:11" ht="18.75" customHeight="1">
      <c r="B5" s="4" t="s">
        <v>8</v>
      </c>
      <c r="C5" s="5">
        <v>18311</v>
      </c>
      <c r="D5" s="6">
        <v>850287</v>
      </c>
      <c r="E5" s="7">
        <v>2059364162</v>
      </c>
      <c r="F5" s="5">
        <v>16709</v>
      </c>
      <c r="G5" s="6">
        <v>662870</v>
      </c>
      <c r="H5" s="7">
        <v>1830528370</v>
      </c>
      <c r="I5" s="5">
        <v>12669</v>
      </c>
      <c r="J5" s="6">
        <v>605799</v>
      </c>
      <c r="K5" s="7">
        <v>1738002046</v>
      </c>
    </row>
    <row r="6" spans="2:11" ht="18.75" customHeight="1">
      <c r="B6" s="4" t="s">
        <v>9</v>
      </c>
      <c r="C6" s="5">
        <v>23834</v>
      </c>
      <c r="D6" s="6">
        <v>964397</v>
      </c>
      <c r="E6" s="7">
        <v>2216518330</v>
      </c>
      <c r="F6" s="5">
        <v>18803</v>
      </c>
      <c r="G6" s="6">
        <v>891896</v>
      </c>
      <c r="H6" s="7">
        <v>2279929300</v>
      </c>
      <c r="I6" s="5">
        <v>14487</v>
      </c>
      <c r="J6" s="6">
        <v>518661</v>
      </c>
      <c r="K6" s="7">
        <v>1369169340</v>
      </c>
    </row>
    <row r="7" spans="2:11" ht="18.75" customHeight="1" thickBot="1">
      <c r="B7" s="4" t="s">
        <v>10</v>
      </c>
      <c r="C7" s="5">
        <v>27775</v>
      </c>
      <c r="D7" s="6">
        <v>925053</v>
      </c>
      <c r="E7" s="7">
        <v>2316245500</v>
      </c>
      <c r="F7" s="5">
        <v>19492</v>
      </c>
      <c r="G7" s="6">
        <v>689615</v>
      </c>
      <c r="H7" s="7">
        <v>1827560000</v>
      </c>
      <c r="I7" s="5">
        <v>16642</v>
      </c>
      <c r="J7" s="6">
        <v>532099</v>
      </c>
      <c r="K7" s="7">
        <v>1441868800</v>
      </c>
    </row>
    <row r="8" spans="2:11" ht="18.75" customHeight="1">
      <c r="B8" s="78" t="s">
        <v>54</v>
      </c>
      <c r="C8" s="69" t="s">
        <v>11</v>
      </c>
      <c r="D8" s="68"/>
      <c r="E8" s="83"/>
      <c r="F8" s="69" t="s">
        <v>37</v>
      </c>
      <c r="G8" s="68"/>
      <c r="H8" s="83"/>
      <c r="I8" s="69" t="s">
        <v>12</v>
      </c>
      <c r="J8" s="68"/>
      <c r="K8" s="83"/>
    </row>
    <row r="9" spans="2:11" ht="18.75" customHeight="1">
      <c r="B9" s="70"/>
      <c r="C9" s="1" t="s">
        <v>5</v>
      </c>
      <c r="D9" s="2" t="s">
        <v>6</v>
      </c>
      <c r="E9" s="3" t="s">
        <v>7</v>
      </c>
      <c r="F9" s="1" t="s">
        <v>5</v>
      </c>
      <c r="G9" s="2" t="s">
        <v>6</v>
      </c>
      <c r="H9" s="3" t="s">
        <v>7</v>
      </c>
      <c r="I9" s="1" t="s">
        <v>5</v>
      </c>
      <c r="J9" s="2" t="s">
        <v>6</v>
      </c>
      <c r="K9" s="3" t="s">
        <v>7</v>
      </c>
    </row>
    <row r="10" spans="2:11" ht="18.75" customHeight="1">
      <c r="B10" s="4" t="s">
        <v>8</v>
      </c>
      <c r="C10" s="5">
        <v>5988</v>
      </c>
      <c r="D10" s="6">
        <v>235243</v>
      </c>
      <c r="E10" s="7">
        <v>679643120</v>
      </c>
      <c r="F10" s="5">
        <v>515</v>
      </c>
      <c r="G10" s="6">
        <v>21118</v>
      </c>
      <c r="H10" s="7">
        <v>58573800</v>
      </c>
      <c r="I10" s="5">
        <v>2426</v>
      </c>
      <c r="J10" s="6">
        <v>73901</v>
      </c>
      <c r="K10" s="7">
        <v>211960600</v>
      </c>
    </row>
    <row r="11" spans="2:11" ht="18.75" customHeight="1">
      <c r="B11" s="4" t="s">
        <v>9</v>
      </c>
      <c r="C11" s="5">
        <v>7714</v>
      </c>
      <c r="D11" s="6">
        <v>253878</v>
      </c>
      <c r="E11" s="7">
        <v>711380686</v>
      </c>
      <c r="F11" s="5">
        <v>6438</v>
      </c>
      <c r="G11" s="6">
        <v>236076</v>
      </c>
      <c r="H11" s="7">
        <v>570931100</v>
      </c>
      <c r="I11" s="5">
        <v>4834</v>
      </c>
      <c r="J11" s="6">
        <v>141516</v>
      </c>
      <c r="K11" s="7">
        <v>379086200</v>
      </c>
    </row>
    <row r="12" spans="2:11" ht="18.75" customHeight="1" thickBot="1">
      <c r="B12" s="4" t="s">
        <v>10</v>
      </c>
      <c r="C12" s="5">
        <v>11731</v>
      </c>
      <c r="D12" s="6">
        <v>422175</v>
      </c>
      <c r="E12" s="7">
        <v>1161875100</v>
      </c>
      <c r="F12" s="5">
        <v>10787</v>
      </c>
      <c r="G12" s="6">
        <v>344014</v>
      </c>
      <c r="H12" s="7">
        <v>924467000</v>
      </c>
      <c r="I12" s="5">
        <v>8930</v>
      </c>
      <c r="J12" s="6">
        <v>308063</v>
      </c>
      <c r="K12" s="7">
        <v>821343800</v>
      </c>
    </row>
    <row r="13" spans="2:11" ht="18.75" customHeight="1">
      <c r="B13" s="78" t="s">
        <v>54</v>
      </c>
      <c r="C13" s="69" t="s">
        <v>13</v>
      </c>
      <c r="D13" s="68"/>
      <c r="E13" s="79"/>
      <c r="F13" s="69" t="s">
        <v>14</v>
      </c>
      <c r="G13" s="68"/>
      <c r="H13" s="83"/>
      <c r="I13" s="69" t="s">
        <v>15</v>
      </c>
      <c r="J13" s="68"/>
      <c r="K13" s="83"/>
    </row>
    <row r="14" spans="2:11" ht="18.75" customHeight="1">
      <c r="B14" s="70"/>
      <c r="C14" s="1" t="s">
        <v>5</v>
      </c>
      <c r="D14" s="2" t="s">
        <v>6</v>
      </c>
      <c r="E14" s="22" t="s">
        <v>7</v>
      </c>
      <c r="F14" s="1" t="s">
        <v>5</v>
      </c>
      <c r="G14" s="2" t="s">
        <v>6</v>
      </c>
      <c r="H14" s="3" t="s">
        <v>7</v>
      </c>
      <c r="I14" s="1" t="s">
        <v>5</v>
      </c>
      <c r="J14" s="2" t="s">
        <v>6</v>
      </c>
      <c r="K14" s="3" t="s">
        <v>7</v>
      </c>
    </row>
    <row r="15" spans="2:11" ht="18.75" customHeight="1">
      <c r="B15" s="4" t="s">
        <v>8</v>
      </c>
      <c r="C15" s="5">
        <v>7440</v>
      </c>
      <c r="D15" s="6">
        <v>222631</v>
      </c>
      <c r="E15" s="32">
        <v>620572200</v>
      </c>
      <c r="F15" s="5">
        <v>4826</v>
      </c>
      <c r="G15" s="6">
        <v>153353</v>
      </c>
      <c r="H15" s="7">
        <v>420712800</v>
      </c>
      <c r="I15" s="5">
        <v>1104</v>
      </c>
      <c r="J15" s="6">
        <v>35261</v>
      </c>
      <c r="K15" s="7">
        <v>96157400</v>
      </c>
    </row>
    <row r="16" spans="2:11" ht="18.75" customHeight="1">
      <c r="B16" s="4" t="s">
        <v>9</v>
      </c>
      <c r="C16" s="5">
        <v>11148</v>
      </c>
      <c r="D16" s="6">
        <v>345046</v>
      </c>
      <c r="E16" s="32">
        <v>829925200</v>
      </c>
      <c r="F16" s="5">
        <v>6358</v>
      </c>
      <c r="G16" s="6">
        <v>191745</v>
      </c>
      <c r="H16" s="7">
        <v>459868000</v>
      </c>
      <c r="I16" s="5">
        <v>3086</v>
      </c>
      <c r="J16" s="6">
        <v>89476</v>
      </c>
      <c r="K16" s="7">
        <v>234756300</v>
      </c>
    </row>
    <row r="17" spans="2:11" ht="18.75" customHeight="1" thickBot="1">
      <c r="B17" s="4" t="s">
        <v>10</v>
      </c>
      <c r="C17" s="5">
        <v>14319</v>
      </c>
      <c r="D17" s="6">
        <v>424390</v>
      </c>
      <c r="E17" s="32">
        <v>1107541600</v>
      </c>
      <c r="F17" s="5">
        <v>7742</v>
      </c>
      <c r="G17" s="6">
        <v>254123</v>
      </c>
      <c r="H17" s="7">
        <v>627104700</v>
      </c>
      <c r="I17" s="5">
        <v>4211</v>
      </c>
      <c r="J17" s="6">
        <v>125700</v>
      </c>
      <c r="K17" s="7">
        <v>326327900</v>
      </c>
    </row>
    <row r="18" spans="2:11" ht="18.75" customHeight="1">
      <c r="B18" s="78" t="s">
        <v>54</v>
      </c>
      <c r="C18" s="69" t="s">
        <v>16</v>
      </c>
      <c r="D18" s="68"/>
      <c r="E18" s="83"/>
      <c r="F18" s="69" t="s">
        <v>17</v>
      </c>
      <c r="G18" s="68"/>
      <c r="H18" s="83"/>
      <c r="I18" s="69" t="s">
        <v>18</v>
      </c>
      <c r="J18" s="68"/>
      <c r="K18" s="83"/>
    </row>
    <row r="19" spans="2:11" ht="18.75" customHeight="1">
      <c r="B19" s="70"/>
      <c r="C19" s="1" t="s">
        <v>5</v>
      </c>
      <c r="D19" s="2" t="s">
        <v>6</v>
      </c>
      <c r="E19" s="3" t="s">
        <v>7</v>
      </c>
      <c r="F19" s="1" t="s">
        <v>5</v>
      </c>
      <c r="G19" s="2" t="s">
        <v>6</v>
      </c>
      <c r="H19" s="3" t="s">
        <v>7</v>
      </c>
      <c r="I19" s="1" t="s">
        <v>5</v>
      </c>
      <c r="J19" s="2" t="s">
        <v>6</v>
      </c>
      <c r="K19" s="3" t="s">
        <v>7</v>
      </c>
    </row>
    <row r="20" spans="2:11" ht="18.75" customHeight="1">
      <c r="B20" s="4" t="s">
        <v>8</v>
      </c>
      <c r="C20" s="5">
        <v>399</v>
      </c>
      <c r="D20" s="6">
        <v>14809</v>
      </c>
      <c r="E20" s="7">
        <v>40692800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</row>
    <row r="21" spans="2:11" ht="18.75" customHeight="1">
      <c r="B21" s="4" t="s">
        <v>9</v>
      </c>
      <c r="C21" s="5">
        <v>3192</v>
      </c>
      <c r="D21" s="6">
        <v>115985</v>
      </c>
      <c r="E21" s="7">
        <v>305913804</v>
      </c>
      <c r="F21" s="5">
        <v>2127</v>
      </c>
      <c r="G21" s="6">
        <v>56147</v>
      </c>
      <c r="H21" s="7">
        <v>133056900</v>
      </c>
      <c r="I21" s="5">
        <v>0</v>
      </c>
      <c r="J21" s="6">
        <v>0</v>
      </c>
      <c r="K21" s="7">
        <v>0</v>
      </c>
    </row>
    <row r="22" spans="2:11" ht="18.75" customHeight="1" thickBot="1">
      <c r="B22" s="4" t="s">
        <v>10</v>
      </c>
      <c r="C22" s="5">
        <v>6185</v>
      </c>
      <c r="D22" s="6">
        <v>186210</v>
      </c>
      <c r="E22" s="7">
        <v>488167800</v>
      </c>
      <c r="F22" s="5">
        <v>7488</v>
      </c>
      <c r="G22" s="6">
        <v>228094</v>
      </c>
      <c r="H22" s="7">
        <v>590574300</v>
      </c>
      <c r="I22" s="5">
        <v>1402</v>
      </c>
      <c r="J22" s="6">
        <v>42410</v>
      </c>
      <c r="K22" s="7">
        <v>111049600</v>
      </c>
    </row>
    <row r="23" spans="2:11" ht="21" thickBot="1">
      <c r="B23" s="84" t="s">
        <v>19</v>
      </c>
      <c r="C23" s="77"/>
      <c r="D23" s="77"/>
      <c r="E23" s="77"/>
      <c r="F23" s="77"/>
      <c r="G23" s="77"/>
      <c r="H23" s="77"/>
      <c r="I23" s="77"/>
      <c r="J23" s="77"/>
      <c r="K23" s="85"/>
    </row>
    <row r="24" spans="2:11" ht="18.75" customHeight="1">
      <c r="B24" s="78" t="s">
        <v>54</v>
      </c>
      <c r="C24" s="69" t="s">
        <v>20</v>
      </c>
      <c r="D24" s="68"/>
      <c r="E24" s="79"/>
      <c r="F24" s="69" t="s">
        <v>21</v>
      </c>
      <c r="G24" s="68"/>
      <c r="H24" s="83"/>
      <c r="I24" s="69" t="s">
        <v>22</v>
      </c>
      <c r="J24" s="68"/>
      <c r="K24" s="83"/>
    </row>
    <row r="25" spans="2:11" ht="18.75" customHeight="1">
      <c r="B25" s="70"/>
      <c r="C25" s="1" t="s">
        <v>5</v>
      </c>
      <c r="D25" s="2" t="s">
        <v>6</v>
      </c>
      <c r="E25" s="22" t="s">
        <v>7</v>
      </c>
      <c r="F25" s="1" t="s">
        <v>5</v>
      </c>
      <c r="G25" s="2" t="s">
        <v>6</v>
      </c>
      <c r="H25" s="3" t="s">
        <v>7</v>
      </c>
      <c r="I25" s="1" t="s">
        <v>5</v>
      </c>
      <c r="J25" s="2" t="s">
        <v>6</v>
      </c>
      <c r="K25" s="3" t="s">
        <v>7</v>
      </c>
    </row>
    <row r="26" spans="2:11" ht="18.75" customHeight="1">
      <c r="B26" s="4" t="s">
        <v>8</v>
      </c>
      <c r="C26" s="5">
        <v>8635</v>
      </c>
      <c r="D26" s="6">
        <v>324380</v>
      </c>
      <c r="E26" s="32">
        <v>885338900</v>
      </c>
      <c r="F26" s="5">
        <v>4424</v>
      </c>
      <c r="G26" s="6">
        <v>299466</v>
      </c>
      <c r="H26" s="7">
        <v>883992600</v>
      </c>
      <c r="I26" s="5">
        <v>391</v>
      </c>
      <c r="J26" s="6">
        <v>14029</v>
      </c>
      <c r="K26" s="7">
        <v>40349600</v>
      </c>
    </row>
    <row r="27" spans="2:11" ht="18.75" customHeight="1">
      <c r="B27" s="4" t="s">
        <v>9</v>
      </c>
      <c r="C27" s="5">
        <v>10912</v>
      </c>
      <c r="D27" s="6">
        <v>464888</v>
      </c>
      <c r="E27" s="32">
        <v>1208548955</v>
      </c>
      <c r="F27" s="5">
        <v>6965</v>
      </c>
      <c r="G27" s="6">
        <v>462141</v>
      </c>
      <c r="H27" s="7">
        <v>1216621884</v>
      </c>
      <c r="I27" s="5">
        <v>5851</v>
      </c>
      <c r="J27" s="6">
        <v>188696</v>
      </c>
      <c r="K27" s="7">
        <v>473505100</v>
      </c>
    </row>
    <row r="28" spans="2:11" ht="18.75" customHeight="1" thickBot="1">
      <c r="B28" s="4" t="s">
        <v>10</v>
      </c>
      <c r="C28" s="5">
        <v>18629</v>
      </c>
      <c r="D28" s="6">
        <v>687504</v>
      </c>
      <c r="E28" s="32">
        <v>1893112700</v>
      </c>
      <c r="F28" s="5">
        <v>9850</v>
      </c>
      <c r="G28" s="6">
        <v>665357</v>
      </c>
      <c r="H28" s="7">
        <v>1818200800</v>
      </c>
      <c r="I28" s="5">
        <v>12657</v>
      </c>
      <c r="J28" s="6">
        <v>418714</v>
      </c>
      <c r="K28" s="7">
        <v>1116907900</v>
      </c>
    </row>
    <row r="29" spans="2:11" ht="18.75" customHeight="1">
      <c r="B29" s="78" t="s">
        <v>54</v>
      </c>
      <c r="C29" s="69" t="s">
        <v>23</v>
      </c>
      <c r="D29" s="68"/>
      <c r="E29" s="79"/>
      <c r="F29" s="69" t="s">
        <v>24</v>
      </c>
      <c r="G29" s="68"/>
      <c r="H29" s="83"/>
      <c r="I29" s="69" t="s">
        <v>25</v>
      </c>
      <c r="J29" s="68"/>
      <c r="K29" s="83"/>
    </row>
    <row r="30" spans="2:11" ht="18.75" customHeight="1">
      <c r="B30" s="70"/>
      <c r="C30" s="1" t="s">
        <v>5</v>
      </c>
      <c r="D30" s="2" t="s">
        <v>6</v>
      </c>
      <c r="E30" s="22" t="s">
        <v>7</v>
      </c>
      <c r="F30" s="1" t="s">
        <v>5</v>
      </c>
      <c r="G30" s="2" t="s">
        <v>6</v>
      </c>
      <c r="H30" s="3" t="s">
        <v>7</v>
      </c>
      <c r="I30" s="1" t="s">
        <v>5</v>
      </c>
      <c r="J30" s="2" t="s">
        <v>6</v>
      </c>
      <c r="K30" s="3" t="s">
        <v>7</v>
      </c>
    </row>
    <row r="31" spans="2:11" ht="18.75" customHeight="1">
      <c r="B31" s="4" t="s">
        <v>8</v>
      </c>
      <c r="C31" s="5">
        <v>4684</v>
      </c>
      <c r="D31" s="6">
        <v>196823</v>
      </c>
      <c r="E31" s="32">
        <v>501373300</v>
      </c>
      <c r="F31" s="5">
        <v>2458</v>
      </c>
      <c r="G31" s="6">
        <v>72469</v>
      </c>
      <c r="H31" s="7">
        <v>194557598</v>
      </c>
      <c r="I31" s="5">
        <v>0</v>
      </c>
      <c r="J31" s="6">
        <v>0</v>
      </c>
      <c r="K31" s="7">
        <v>0</v>
      </c>
    </row>
    <row r="32" spans="2:11" ht="18.75" customHeight="1">
      <c r="B32" s="4" t="s">
        <v>9</v>
      </c>
      <c r="C32" s="5">
        <v>6545</v>
      </c>
      <c r="D32" s="6">
        <v>317015</v>
      </c>
      <c r="E32" s="32">
        <v>729880500</v>
      </c>
      <c r="F32" s="5">
        <v>4106</v>
      </c>
      <c r="G32" s="6">
        <v>129812</v>
      </c>
      <c r="H32" s="7">
        <v>329060000</v>
      </c>
      <c r="I32" s="5">
        <v>1479</v>
      </c>
      <c r="J32" s="6">
        <v>58403</v>
      </c>
      <c r="K32" s="7">
        <v>147701400</v>
      </c>
    </row>
    <row r="33" spans="2:11" ht="18.75" customHeight="1" thickBot="1">
      <c r="B33" s="4" t="s">
        <v>10</v>
      </c>
      <c r="C33" s="5">
        <v>8336</v>
      </c>
      <c r="D33" s="6">
        <v>336099</v>
      </c>
      <c r="E33" s="32">
        <v>846339800</v>
      </c>
      <c r="F33" s="5">
        <v>10864</v>
      </c>
      <c r="G33" s="6">
        <v>323613</v>
      </c>
      <c r="H33" s="7">
        <v>841928100</v>
      </c>
      <c r="I33" s="5">
        <v>5664</v>
      </c>
      <c r="J33" s="6">
        <v>251624</v>
      </c>
      <c r="K33" s="7">
        <v>645644500</v>
      </c>
    </row>
    <row r="34" spans="2:11" ht="18.75" customHeight="1">
      <c r="B34" s="78" t="s">
        <v>54</v>
      </c>
      <c r="C34" s="69" t="s">
        <v>26</v>
      </c>
      <c r="D34" s="68"/>
      <c r="E34" s="79"/>
      <c r="F34" s="69" t="s">
        <v>27</v>
      </c>
      <c r="G34" s="68"/>
      <c r="H34" s="83"/>
      <c r="I34" s="69" t="s">
        <v>28</v>
      </c>
      <c r="J34" s="68"/>
      <c r="K34" s="83"/>
    </row>
    <row r="35" spans="2:11" ht="18.75" customHeight="1">
      <c r="B35" s="70"/>
      <c r="C35" s="1" t="s">
        <v>5</v>
      </c>
      <c r="D35" s="2" t="s">
        <v>6</v>
      </c>
      <c r="E35" s="22" t="s">
        <v>7</v>
      </c>
      <c r="F35" s="1" t="s">
        <v>5</v>
      </c>
      <c r="G35" s="2" t="s">
        <v>6</v>
      </c>
      <c r="H35" s="3" t="s">
        <v>7</v>
      </c>
      <c r="I35" s="1" t="s">
        <v>5</v>
      </c>
      <c r="J35" s="2" t="s">
        <v>6</v>
      </c>
      <c r="K35" s="3" t="s">
        <v>7</v>
      </c>
    </row>
    <row r="36" spans="2:11" ht="18.75" customHeight="1">
      <c r="B36" s="4" t="s">
        <v>8</v>
      </c>
      <c r="C36" s="5">
        <v>0</v>
      </c>
      <c r="D36" s="6">
        <v>0</v>
      </c>
      <c r="E36" s="32">
        <v>0</v>
      </c>
      <c r="F36" s="5">
        <v>0</v>
      </c>
      <c r="G36" s="6">
        <v>0</v>
      </c>
      <c r="H36" s="7">
        <v>0</v>
      </c>
      <c r="I36" s="5">
        <v>0</v>
      </c>
      <c r="J36" s="6">
        <v>0</v>
      </c>
      <c r="K36" s="7">
        <v>0</v>
      </c>
    </row>
    <row r="37" spans="2:11" ht="18.75" customHeight="1">
      <c r="B37" s="4" t="s">
        <v>9</v>
      </c>
      <c r="C37" s="5">
        <v>574</v>
      </c>
      <c r="D37" s="6">
        <v>22878</v>
      </c>
      <c r="E37" s="32">
        <v>58780700</v>
      </c>
      <c r="F37" s="5">
        <v>0</v>
      </c>
      <c r="G37" s="6">
        <v>0</v>
      </c>
      <c r="H37" s="7">
        <v>0</v>
      </c>
      <c r="I37" s="5">
        <v>0</v>
      </c>
      <c r="J37" s="6">
        <v>0</v>
      </c>
      <c r="K37" s="7">
        <v>0</v>
      </c>
    </row>
    <row r="38" spans="2:11" ht="18.75" customHeight="1" thickBot="1">
      <c r="B38" s="4" t="s">
        <v>10</v>
      </c>
      <c r="C38" s="5">
        <v>4054</v>
      </c>
      <c r="D38" s="6">
        <v>135289</v>
      </c>
      <c r="E38" s="32">
        <v>377513200</v>
      </c>
      <c r="F38" s="5">
        <v>2448</v>
      </c>
      <c r="G38" s="6">
        <v>92758</v>
      </c>
      <c r="H38" s="7">
        <v>234031600</v>
      </c>
      <c r="I38" s="5">
        <v>736</v>
      </c>
      <c r="J38" s="6">
        <v>46578</v>
      </c>
      <c r="K38" s="7">
        <v>119910400</v>
      </c>
    </row>
    <row r="39" spans="2:11">
      <c r="B39" s="116" t="s">
        <v>54</v>
      </c>
      <c r="C39" s="69" t="s">
        <v>47</v>
      </c>
      <c r="D39" s="68"/>
      <c r="E39" s="83"/>
      <c r="F39" s="118" t="s">
        <v>29</v>
      </c>
      <c r="G39" s="81"/>
      <c r="H39" s="82"/>
    </row>
    <row r="40" spans="2:11">
      <c r="B40" s="117"/>
      <c r="C40" s="1" t="s">
        <v>5</v>
      </c>
      <c r="D40" s="2" t="s">
        <v>6</v>
      </c>
      <c r="E40" s="3" t="s">
        <v>7</v>
      </c>
      <c r="F40" s="23" t="s">
        <v>5</v>
      </c>
      <c r="G40" s="2" t="s">
        <v>6</v>
      </c>
      <c r="H40" s="3" t="s">
        <v>7</v>
      </c>
    </row>
    <row r="41" spans="2:11">
      <c r="B41" s="27" t="s">
        <v>8</v>
      </c>
      <c r="C41" s="5"/>
      <c r="D41" s="6"/>
      <c r="E41" s="7"/>
      <c r="F41" s="24">
        <f t="shared" ref="F41:H43" si="0">C5+F5+I5+C10+F10+I10+C15+F15+I15+C20+F20+I20+C26+F26+I26+C31+F31+I31+C36+F36+I36+C41</f>
        <v>90979</v>
      </c>
      <c r="G41" s="6">
        <f t="shared" si="0"/>
        <v>3782439</v>
      </c>
      <c r="H41" s="7">
        <f t="shared" si="0"/>
        <v>10261819296</v>
      </c>
    </row>
    <row r="42" spans="2:11">
      <c r="B42" s="27" t="s">
        <v>9</v>
      </c>
      <c r="C42" s="5"/>
      <c r="D42" s="6"/>
      <c r="E42" s="7"/>
      <c r="F42" s="24">
        <f t="shared" si="0"/>
        <v>138453</v>
      </c>
      <c r="G42" s="6">
        <f t="shared" si="0"/>
        <v>5448656</v>
      </c>
      <c r="H42" s="7">
        <f t="shared" si="0"/>
        <v>13654633699</v>
      </c>
    </row>
    <row r="43" spans="2:11">
      <c r="B43" s="27" t="s">
        <v>10</v>
      </c>
      <c r="C43" s="5"/>
      <c r="D43" s="6"/>
      <c r="E43" s="7"/>
      <c r="F43" s="24">
        <f t="shared" si="0"/>
        <v>209942</v>
      </c>
      <c r="G43" s="6">
        <f t="shared" si="0"/>
        <v>7439482</v>
      </c>
      <c r="H43" s="7">
        <f t="shared" si="0"/>
        <v>19637715100</v>
      </c>
    </row>
  </sheetData>
  <mergeCells count="34">
    <mergeCell ref="B24:B25"/>
    <mergeCell ref="C24:E24"/>
    <mergeCell ref="F24:H24"/>
    <mergeCell ref="I24:K24"/>
    <mergeCell ref="B18:B19"/>
    <mergeCell ref="C18:E18"/>
    <mergeCell ref="F18:H18"/>
    <mergeCell ref="I18:K18"/>
    <mergeCell ref="B23:K23"/>
    <mergeCell ref="B1:K1"/>
    <mergeCell ref="B2:K2"/>
    <mergeCell ref="B3:B4"/>
    <mergeCell ref="C3:E3"/>
    <mergeCell ref="F3:H3"/>
    <mergeCell ref="I3:K3"/>
    <mergeCell ref="B8:B9"/>
    <mergeCell ref="C8:E8"/>
    <mergeCell ref="F8:H8"/>
    <mergeCell ref="I8:K8"/>
    <mergeCell ref="B13:B14"/>
    <mergeCell ref="C13:E13"/>
    <mergeCell ref="F13:H13"/>
    <mergeCell ref="I13:K13"/>
    <mergeCell ref="B39:B40"/>
    <mergeCell ref="C39:E39"/>
    <mergeCell ref="F39:H39"/>
    <mergeCell ref="B29:B30"/>
    <mergeCell ref="C29:E29"/>
    <mergeCell ref="F29:H29"/>
    <mergeCell ref="I29:K29"/>
    <mergeCell ref="B34:B35"/>
    <mergeCell ref="C34:E34"/>
    <mergeCell ref="F34:H34"/>
    <mergeCell ref="I34:K3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C9D9-A642-4B28-BA84-A1FBC2A46A7E}">
  <sheetPr>
    <tabColor theme="5" tint="0.79998168889431442"/>
  </sheetPr>
  <dimension ref="B1:K123"/>
  <sheetViews>
    <sheetView topLeftCell="A88" workbookViewId="0">
      <selection activeCell="F12" sqref="F12"/>
    </sheetView>
  </sheetViews>
  <sheetFormatPr defaultRowHeight="16.5"/>
  <cols>
    <col min="1" max="1" width="13.125" customWidth="1"/>
    <col min="2" max="2" width="12.625" style="13" customWidth="1"/>
    <col min="3" max="11" width="13.875" customWidth="1"/>
  </cols>
  <sheetData>
    <row r="1" spans="2:11" ht="21" thickBot="1">
      <c r="B1" s="72" t="s">
        <v>48</v>
      </c>
      <c r="C1" s="73"/>
      <c r="D1" s="73"/>
      <c r="E1" s="73"/>
      <c r="F1" s="73"/>
      <c r="G1" s="73"/>
      <c r="H1" s="73"/>
      <c r="I1" s="73"/>
      <c r="J1" s="73"/>
      <c r="K1" s="73"/>
    </row>
    <row r="2" spans="2:11" ht="18.75" customHeight="1" thickBot="1"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ht="18.75" customHeight="1">
      <c r="B3" s="78" t="s">
        <v>30</v>
      </c>
      <c r="C3" s="69" t="s">
        <v>2</v>
      </c>
      <c r="D3" s="68"/>
      <c r="E3" s="68"/>
      <c r="F3" s="69" t="s">
        <v>4</v>
      </c>
      <c r="G3" s="68"/>
      <c r="H3" s="68"/>
      <c r="I3" s="67" t="s">
        <v>11</v>
      </c>
      <c r="J3" s="68"/>
      <c r="K3" s="68"/>
    </row>
    <row r="4" spans="2:11" ht="18.75" customHeight="1">
      <c r="B4" s="70"/>
      <c r="C4" s="1">
        <v>2023</v>
      </c>
      <c r="D4" s="2">
        <v>2024</v>
      </c>
      <c r="E4" s="2">
        <v>2025</v>
      </c>
      <c r="F4" s="1">
        <v>2023</v>
      </c>
      <c r="G4" s="2">
        <v>2024</v>
      </c>
      <c r="H4" s="2">
        <v>2025</v>
      </c>
      <c r="I4" s="23">
        <v>2023</v>
      </c>
      <c r="J4" s="2">
        <v>2024</v>
      </c>
      <c r="K4" s="2">
        <v>2025</v>
      </c>
    </row>
    <row r="5" spans="2:11" ht="18.75" customHeight="1">
      <c r="B5" s="35">
        <v>1</v>
      </c>
      <c r="C5" s="5">
        <v>42551</v>
      </c>
      <c r="D5" s="6">
        <v>81320</v>
      </c>
      <c r="E5" s="6">
        <v>79213</v>
      </c>
      <c r="F5" s="5">
        <v>55791</v>
      </c>
      <c r="G5" s="6">
        <v>42367</v>
      </c>
      <c r="H5" s="6">
        <v>41950</v>
      </c>
      <c r="I5" s="24">
        <v>34490</v>
      </c>
      <c r="J5" s="6">
        <v>21900</v>
      </c>
      <c r="K5" s="6">
        <v>25884</v>
      </c>
    </row>
    <row r="6" spans="2:11" ht="18.75" customHeight="1">
      <c r="B6" s="35">
        <v>2</v>
      </c>
      <c r="C6" s="5">
        <v>53904</v>
      </c>
      <c r="D6" s="6">
        <v>67604</v>
      </c>
      <c r="E6" s="6">
        <v>67482</v>
      </c>
      <c r="F6" s="5">
        <v>46175</v>
      </c>
      <c r="G6" s="6">
        <v>37656</v>
      </c>
      <c r="H6" s="6">
        <v>36685</v>
      </c>
      <c r="I6" s="24">
        <v>18824</v>
      </c>
      <c r="J6" s="6">
        <v>19166</v>
      </c>
      <c r="K6" s="6">
        <v>22901</v>
      </c>
    </row>
    <row r="7" spans="2:11" ht="18.75" customHeight="1">
      <c r="B7" s="35">
        <v>3</v>
      </c>
      <c r="C7" s="5">
        <v>86258</v>
      </c>
      <c r="D7" s="6">
        <v>79369</v>
      </c>
      <c r="E7" s="6">
        <v>87146</v>
      </c>
      <c r="F7" s="5">
        <v>53897</v>
      </c>
      <c r="G7" s="6">
        <v>43736</v>
      </c>
      <c r="H7" s="6">
        <v>48439</v>
      </c>
      <c r="I7" s="24">
        <v>19512</v>
      </c>
      <c r="J7" s="6">
        <v>24614</v>
      </c>
      <c r="K7" s="6">
        <v>26972</v>
      </c>
    </row>
    <row r="8" spans="2:11" ht="18.75" customHeight="1">
      <c r="B8" s="35">
        <v>4</v>
      </c>
      <c r="C8" s="5">
        <v>71184</v>
      </c>
      <c r="D8" s="6">
        <v>103847</v>
      </c>
      <c r="E8" s="6">
        <v>76869</v>
      </c>
      <c r="F8" s="5">
        <v>58654</v>
      </c>
      <c r="G8" s="6">
        <v>56741</v>
      </c>
      <c r="H8" s="6">
        <v>44964</v>
      </c>
      <c r="I8" s="24">
        <v>21091</v>
      </c>
      <c r="J8" s="6">
        <v>27227</v>
      </c>
      <c r="K8" s="6">
        <v>33009</v>
      </c>
    </row>
    <row r="9" spans="2:11" ht="18.75" customHeight="1">
      <c r="B9" s="35">
        <v>5</v>
      </c>
      <c r="C9" s="5">
        <v>82600</v>
      </c>
      <c r="D9" s="6">
        <v>84306</v>
      </c>
      <c r="E9" s="6">
        <v>84583</v>
      </c>
      <c r="F9" s="5">
        <v>53594</v>
      </c>
      <c r="G9" s="6">
        <v>49416</v>
      </c>
      <c r="H9" s="6">
        <v>51983</v>
      </c>
      <c r="I9" s="24">
        <v>19843</v>
      </c>
      <c r="J9" s="6">
        <v>24468</v>
      </c>
      <c r="K9" s="6">
        <v>39536</v>
      </c>
    </row>
    <row r="10" spans="2:11" ht="18.75" customHeight="1">
      <c r="B10" s="35">
        <v>6</v>
      </c>
      <c r="C10" s="5">
        <v>77300</v>
      </c>
      <c r="D10" s="6">
        <v>84837</v>
      </c>
      <c r="E10" s="6">
        <v>86429</v>
      </c>
      <c r="F10" s="5">
        <v>79056</v>
      </c>
      <c r="G10" s="6">
        <v>42371</v>
      </c>
      <c r="H10" s="6">
        <v>49970</v>
      </c>
      <c r="I10" s="24">
        <v>18392</v>
      </c>
      <c r="J10" s="6">
        <v>14827</v>
      </c>
      <c r="K10" s="6">
        <v>37249</v>
      </c>
    </row>
    <row r="11" spans="2:11" ht="18.75" customHeight="1">
      <c r="B11" s="35">
        <v>7</v>
      </c>
      <c r="C11" s="5">
        <v>65479</v>
      </c>
      <c r="D11" s="6">
        <v>68544</v>
      </c>
      <c r="E11" s="6">
        <v>64632</v>
      </c>
      <c r="F11" s="5">
        <v>44839</v>
      </c>
      <c r="G11" s="6">
        <v>36370</v>
      </c>
      <c r="H11" s="6">
        <v>35244</v>
      </c>
      <c r="I11" s="24">
        <v>15022</v>
      </c>
      <c r="J11" s="6">
        <v>15399</v>
      </c>
      <c r="K11" s="6">
        <v>34864</v>
      </c>
    </row>
    <row r="12" spans="2:11" ht="18.75" customHeight="1">
      <c r="B12" s="35">
        <v>8</v>
      </c>
      <c r="C12" s="5">
        <v>63095</v>
      </c>
      <c r="D12" s="6">
        <v>70991</v>
      </c>
      <c r="E12" s="6">
        <v>56447</v>
      </c>
      <c r="F12" s="5">
        <v>30060</v>
      </c>
      <c r="G12" s="6">
        <v>32597</v>
      </c>
      <c r="H12" s="6">
        <v>33115</v>
      </c>
      <c r="I12" s="24">
        <v>12777</v>
      </c>
      <c r="J12" s="6">
        <v>16437</v>
      </c>
      <c r="K12" s="6">
        <v>36735</v>
      </c>
    </row>
    <row r="13" spans="2:11" ht="18.75" customHeight="1">
      <c r="B13" s="35">
        <v>9</v>
      </c>
      <c r="C13" s="5">
        <v>70522</v>
      </c>
      <c r="D13" s="6">
        <v>63741</v>
      </c>
      <c r="E13" s="6">
        <v>58384</v>
      </c>
      <c r="F13" s="5">
        <v>28698</v>
      </c>
      <c r="G13" s="6">
        <v>33513</v>
      </c>
      <c r="H13" s="6">
        <v>32535</v>
      </c>
      <c r="I13" s="24">
        <v>13075</v>
      </c>
      <c r="J13" s="6">
        <v>14183</v>
      </c>
      <c r="K13" s="6">
        <v>28952</v>
      </c>
    </row>
    <row r="14" spans="2:11" ht="18.75" customHeight="1">
      <c r="B14" s="35">
        <v>10</v>
      </c>
      <c r="C14" s="5">
        <v>88061</v>
      </c>
      <c r="D14" s="6">
        <v>99221</v>
      </c>
      <c r="E14" s="6">
        <v>100416</v>
      </c>
      <c r="F14" s="5">
        <v>52805</v>
      </c>
      <c r="G14" s="6">
        <v>53191</v>
      </c>
      <c r="H14" s="6">
        <v>54075</v>
      </c>
      <c r="I14" s="24">
        <v>26487</v>
      </c>
      <c r="J14" s="6">
        <v>22173</v>
      </c>
      <c r="K14" s="6">
        <v>44183</v>
      </c>
    </row>
    <row r="15" spans="2:11" ht="18.75" customHeight="1">
      <c r="B15" s="35">
        <v>11</v>
      </c>
      <c r="C15" s="5">
        <v>101665</v>
      </c>
      <c r="D15" s="6">
        <v>92587</v>
      </c>
      <c r="E15" s="6">
        <v>94392</v>
      </c>
      <c r="F15" s="5">
        <v>57312</v>
      </c>
      <c r="G15" s="6">
        <v>50272</v>
      </c>
      <c r="H15" s="6">
        <v>55519</v>
      </c>
      <c r="I15" s="24">
        <v>19909</v>
      </c>
      <c r="J15" s="6">
        <v>28354</v>
      </c>
      <c r="K15" s="6">
        <v>45981</v>
      </c>
    </row>
    <row r="16" spans="2:11" ht="18.75" customHeight="1">
      <c r="B16" s="35">
        <v>12</v>
      </c>
      <c r="C16" s="5">
        <v>47668</v>
      </c>
      <c r="D16" s="6">
        <v>68030</v>
      </c>
      <c r="E16" s="6">
        <v>69060</v>
      </c>
      <c r="F16" s="5">
        <v>44918</v>
      </c>
      <c r="G16" s="6">
        <v>40431</v>
      </c>
      <c r="H16" s="6">
        <v>47620</v>
      </c>
      <c r="I16" s="24">
        <v>15821</v>
      </c>
      <c r="J16" s="6">
        <v>25130</v>
      </c>
      <c r="K16" s="6">
        <v>45909</v>
      </c>
    </row>
    <row r="17" spans="2:11" s="14" customFormat="1" ht="18.75" customHeight="1" thickBot="1">
      <c r="B17" s="35" t="s">
        <v>31</v>
      </c>
      <c r="C17" s="11">
        <f>SUM(C5:C16)</f>
        <v>850287</v>
      </c>
      <c r="D17" s="12">
        <f t="shared" ref="D17:K17" si="0">SUM(D5:D16)</f>
        <v>964397</v>
      </c>
      <c r="E17" s="36">
        <f t="shared" si="0"/>
        <v>925053</v>
      </c>
      <c r="F17" s="11">
        <f t="shared" si="0"/>
        <v>605799</v>
      </c>
      <c r="G17" s="12">
        <f t="shared" si="0"/>
        <v>518661</v>
      </c>
      <c r="H17" s="12">
        <f t="shared" si="0"/>
        <v>532099</v>
      </c>
      <c r="I17" s="37">
        <f t="shared" si="0"/>
        <v>235243</v>
      </c>
      <c r="J17" s="12">
        <f t="shared" si="0"/>
        <v>253878</v>
      </c>
      <c r="K17" s="12">
        <f t="shared" si="0"/>
        <v>422175</v>
      </c>
    </row>
    <row r="18" spans="2:11">
      <c r="B18" s="70" t="s">
        <v>30</v>
      </c>
      <c r="C18" s="69" t="s">
        <v>3</v>
      </c>
      <c r="D18" s="68"/>
      <c r="E18" s="68"/>
      <c r="F18" s="69" t="s">
        <v>13</v>
      </c>
      <c r="G18" s="68"/>
      <c r="H18" s="68"/>
      <c r="I18" s="67" t="s">
        <v>14</v>
      </c>
      <c r="J18" s="68"/>
      <c r="K18" s="68"/>
    </row>
    <row r="19" spans="2:11">
      <c r="B19" s="70"/>
      <c r="C19" s="1">
        <v>2023</v>
      </c>
      <c r="D19" s="2">
        <v>2024</v>
      </c>
      <c r="E19" s="2">
        <v>2025</v>
      </c>
      <c r="F19" s="1">
        <v>2023</v>
      </c>
      <c r="G19" s="2">
        <v>2024</v>
      </c>
      <c r="H19" s="2">
        <v>2025</v>
      </c>
      <c r="I19" s="23">
        <v>2023</v>
      </c>
      <c r="J19" s="2">
        <v>2024</v>
      </c>
      <c r="K19" s="2">
        <v>2025</v>
      </c>
    </row>
    <row r="20" spans="2:11">
      <c r="B20" s="35">
        <v>1</v>
      </c>
      <c r="C20" s="5">
        <v>43519</v>
      </c>
      <c r="D20" s="6">
        <v>55062</v>
      </c>
      <c r="E20" s="6">
        <v>41261</v>
      </c>
      <c r="F20" s="5">
        <v>15813</v>
      </c>
      <c r="G20" s="6">
        <v>24726</v>
      </c>
      <c r="H20" s="6">
        <v>26811</v>
      </c>
      <c r="I20" s="24">
        <v>13517</v>
      </c>
      <c r="J20" s="6">
        <v>14117</v>
      </c>
      <c r="K20" s="6">
        <v>19387</v>
      </c>
    </row>
    <row r="21" spans="2:11">
      <c r="B21" s="35">
        <v>2</v>
      </c>
      <c r="C21" s="5">
        <v>54784</v>
      </c>
      <c r="D21" s="6">
        <v>46668</v>
      </c>
      <c r="E21" s="6">
        <v>43742</v>
      </c>
      <c r="F21" s="5">
        <v>18711</v>
      </c>
      <c r="G21" s="6">
        <v>17958</v>
      </c>
      <c r="H21" s="6">
        <v>28920</v>
      </c>
      <c r="I21" s="24">
        <v>12008</v>
      </c>
      <c r="J21" s="6">
        <v>12057</v>
      </c>
      <c r="K21" s="6">
        <v>14975</v>
      </c>
    </row>
    <row r="22" spans="2:11">
      <c r="B22" s="35">
        <v>3</v>
      </c>
      <c r="C22" s="5">
        <v>61874</v>
      </c>
      <c r="D22" s="6">
        <v>57334</v>
      </c>
      <c r="E22" s="6">
        <v>46495</v>
      </c>
      <c r="F22" s="5">
        <v>25168</v>
      </c>
      <c r="G22" s="6">
        <v>21001</v>
      </c>
      <c r="H22" s="6">
        <v>27758</v>
      </c>
      <c r="I22" s="24">
        <v>12489</v>
      </c>
      <c r="J22" s="6">
        <v>18072</v>
      </c>
      <c r="K22" s="6">
        <v>16698</v>
      </c>
    </row>
    <row r="23" spans="2:11">
      <c r="B23" s="35">
        <v>4</v>
      </c>
      <c r="C23" s="5">
        <v>55377</v>
      </c>
      <c r="D23" s="6">
        <v>63619</v>
      </c>
      <c r="E23" s="6">
        <v>61861</v>
      </c>
      <c r="F23" s="5">
        <v>18050</v>
      </c>
      <c r="G23" s="6">
        <v>32551</v>
      </c>
      <c r="H23" s="6">
        <v>32056</v>
      </c>
      <c r="I23" s="24">
        <v>11042</v>
      </c>
      <c r="J23" s="6">
        <v>21668</v>
      </c>
      <c r="K23" s="6">
        <v>15332</v>
      </c>
    </row>
    <row r="24" spans="2:11">
      <c r="B24" s="35">
        <v>5</v>
      </c>
      <c r="C24" s="5">
        <v>69716</v>
      </c>
      <c r="D24" s="6">
        <v>55909</v>
      </c>
      <c r="E24" s="6">
        <v>53934</v>
      </c>
      <c r="F24" s="5">
        <v>18142</v>
      </c>
      <c r="G24" s="6">
        <v>27551</v>
      </c>
      <c r="H24" s="6">
        <v>43150</v>
      </c>
      <c r="I24" s="24">
        <v>14102</v>
      </c>
      <c r="J24" s="6">
        <v>21643</v>
      </c>
      <c r="K24" s="6">
        <v>20393</v>
      </c>
    </row>
    <row r="25" spans="2:11">
      <c r="B25" s="35">
        <v>6</v>
      </c>
      <c r="C25" s="5">
        <v>74627</v>
      </c>
      <c r="D25" s="6">
        <v>64555</v>
      </c>
      <c r="E25" s="6">
        <v>76569</v>
      </c>
      <c r="F25" s="5">
        <v>17395</v>
      </c>
      <c r="G25" s="6">
        <v>28213</v>
      </c>
      <c r="H25" s="6">
        <v>43978</v>
      </c>
      <c r="I25" s="24">
        <v>13284</v>
      </c>
      <c r="J25" s="6">
        <v>12286</v>
      </c>
      <c r="K25" s="6">
        <v>19002</v>
      </c>
    </row>
    <row r="26" spans="2:11">
      <c r="B26" s="35">
        <v>7</v>
      </c>
      <c r="C26" s="5">
        <v>44659</v>
      </c>
      <c r="D26" s="6">
        <v>157251</v>
      </c>
      <c r="E26" s="6">
        <v>82211</v>
      </c>
      <c r="F26" s="5">
        <v>16126</v>
      </c>
      <c r="G26" s="6">
        <v>22615</v>
      </c>
      <c r="H26" s="6">
        <v>34251</v>
      </c>
      <c r="I26" s="24">
        <v>12077</v>
      </c>
      <c r="J26" s="6">
        <v>17843</v>
      </c>
      <c r="K26" s="6">
        <v>22274</v>
      </c>
    </row>
    <row r="27" spans="2:11">
      <c r="B27" s="35">
        <v>8</v>
      </c>
      <c r="C27" s="5">
        <v>40678</v>
      </c>
      <c r="D27" s="6">
        <v>102943</v>
      </c>
      <c r="E27" s="6">
        <v>42058</v>
      </c>
      <c r="F27" s="5">
        <v>11704</v>
      </c>
      <c r="G27" s="6">
        <v>50726</v>
      </c>
      <c r="H27" s="6">
        <v>27834</v>
      </c>
      <c r="I27" s="24">
        <v>13735</v>
      </c>
      <c r="J27" s="6">
        <v>13515</v>
      </c>
      <c r="K27" s="6">
        <v>25476</v>
      </c>
    </row>
    <row r="28" spans="2:11">
      <c r="B28" s="35">
        <v>9</v>
      </c>
      <c r="C28" s="5">
        <v>39653</v>
      </c>
      <c r="D28" s="6">
        <v>50296</v>
      </c>
      <c r="E28" s="6">
        <v>44157</v>
      </c>
      <c r="F28" s="5">
        <v>13342</v>
      </c>
      <c r="G28" s="6">
        <v>23960</v>
      </c>
      <c r="H28" s="6">
        <v>32389</v>
      </c>
      <c r="I28" s="24">
        <v>9586</v>
      </c>
      <c r="J28" s="6">
        <v>10889</v>
      </c>
      <c r="K28" s="6">
        <v>20678</v>
      </c>
    </row>
    <row r="29" spans="2:11">
      <c r="B29" s="35">
        <v>10</v>
      </c>
      <c r="C29" s="5">
        <v>65653</v>
      </c>
      <c r="D29" s="6">
        <v>70101</v>
      </c>
      <c r="E29" s="6">
        <v>66402</v>
      </c>
      <c r="F29" s="5">
        <v>25996</v>
      </c>
      <c r="G29" s="6">
        <v>35534</v>
      </c>
      <c r="H29" s="6">
        <v>42945</v>
      </c>
      <c r="I29" s="24">
        <v>15449</v>
      </c>
      <c r="J29" s="6">
        <v>15884</v>
      </c>
      <c r="K29" s="6">
        <v>26003</v>
      </c>
    </row>
    <row r="30" spans="2:11">
      <c r="B30" s="35">
        <v>11</v>
      </c>
      <c r="C30" s="5">
        <v>62403</v>
      </c>
      <c r="D30" s="6">
        <v>74512</v>
      </c>
      <c r="E30" s="6">
        <v>57428</v>
      </c>
      <c r="F30" s="5">
        <v>18612</v>
      </c>
      <c r="G30" s="6">
        <v>29856</v>
      </c>
      <c r="H30" s="6">
        <v>42131</v>
      </c>
      <c r="I30" s="24">
        <v>14299</v>
      </c>
      <c r="J30" s="6">
        <v>14550</v>
      </c>
      <c r="K30" s="6">
        <v>28060</v>
      </c>
    </row>
    <row r="31" spans="2:11">
      <c r="B31" s="35">
        <v>12</v>
      </c>
      <c r="C31" s="5">
        <v>49927</v>
      </c>
      <c r="D31" s="6">
        <v>93646</v>
      </c>
      <c r="E31" s="6">
        <v>73497</v>
      </c>
      <c r="F31" s="5">
        <v>23572</v>
      </c>
      <c r="G31" s="6">
        <v>30355</v>
      </c>
      <c r="H31" s="6">
        <v>42167</v>
      </c>
      <c r="I31" s="24">
        <v>11765</v>
      </c>
      <c r="J31" s="6">
        <v>19221</v>
      </c>
      <c r="K31" s="6">
        <v>25845</v>
      </c>
    </row>
    <row r="32" spans="2:11" s="14" customFormat="1" ht="17.25" thickBot="1">
      <c r="B32" s="35" t="s">
        <v>31</v>
      </c>
      <c r="C32" s="11">
        <f t="shared" ref="C32:K32" si="1">SUM(C20:C31)</f>
        <v>662870</v>
      </c>
      <c r="D32" s="12">
        <f t="shared" si="1"/>
        <v>891896</v>
      </c>
      <c r="E32" s="36">
        <f t="shared" si="1"/>
        <v>689615</v>
      </c>
      <c r="F32" s="11">
        <f t="shared" si="1"/>
        <v>222631</v>
      </c>
      <c r="G32" s="12">
        <f t="shared" si="1"/>
        <v>345046</v>
      </c>
      <c r="H32" s="12">
        <f t="shared" si="1"/>
        <v>424390</v>
      </c>
      <c r="I32" s="37">
        <f t="shared" si="1"/>
        <v>153353</v>
      </c>
      <c r="J32" s="12">
        <f t="shared" si="1"/>
        <v>191745</v>
      </c>
      <c r="K32" s="12">
        <f t="shared" si="1"/>
        <v>254123</v>
      </c>
    </row>
    <row r="33" spans="2:11">
      <c r="B33" s="70" t="s">
        <v>30</v>
      </c>
      <c r="C33" s="69" t="s">
        <v>12</v>
      </c>
      <c r="D33" s="68"/>
      <c r="E33" s="68"/>
      <c r="F33" s="69" t="s">
        <v>15</v>
      </c>
      <c r="G33" s="68"/>
      <c r="H33" s="68"/>
      <c r="I33" s="67" t="s">
        <v>37</v>
      </c>
      <c r="J33" s="68"/>
      <c r="K33" s="68"/>
    </row>
    <row r="34" spans="2:11">
      <c r="B34" s="70"/>
      <c r="C34" s="1">
        <v>2023</v>
      </c>
      <c r="D34" s="2">
        <v>2024</v>
      </c>
      <c r="E34" s="2">
        <v>2025</v>
      </c>
      <c r="F34" s="1">
        <v>2023</v>
      </c>
      <c r="G34" s="2">
        <v>2024</v>
      </c>
      <c r="H34" s="2">
        <v>2025</v>
      </c>
      <c r="I34" s="23">
        <v>2023</v>
      </c>
      <c r="J34" s="2">
        <v>2024</v>
      </c>
      <c r="K34" s="2">
        <v>2025</v>
      </c>
    </row>
    <row r="35" spans="2:11">
      <c r="B35" s="35">
        <v>1</v>
      </c>
      <c r="C35" s="5">
        <v>0</v>
      </c>
      <c r="D35" s="6">
        <v>6445</v>
      </c>
      <c r="E35" s="6">
        <v>15759</v>
      </c>
      <c r="F35" s="5">
        <v>0</v>
      </c>
      <c r="G35" s="6">
        <v>4064</v>
      </c>
      <c r="H35" s="6">
        <v>7123</v>
      </c>
      <c r="I35" s="24">
        <v>0</v>
      </c>
      <c r="J35" s="6">
        <v>3384</v>
      </c>
      <c r="K35" s="6">
        <v>25974</v>
      </c>
    </row>
    <row r="36" spans="2:11">
      <c r="B36" s="35">
        <v>2</v>
      </c>
      <c r="C36" s="5">
        <v>61</v>
      </c>
      <c r="D36" s="6">
        <v>7483</v>
      </c>
      <c r="E36" s="6">
        <v>15464</v>
      </c>
      <c r="F36" s="5">
        <v>0</v>
      </c>
      <c r="G36" s="6">
        <v>7790</v>
      </c>
      <c r="H36" s="6">
        <v>8014</v>
      </c>
      <c r="I36" s="24">
        <v>0</v>
      </c>
      <c r="J36" s="6">
        <v>2951</v>
      </c>
      <c r="K36" s="6">
        <v>20694</v>
      </c>
    </row>
    <row r="37" spans="2:11">
      <c r="B37" s="35">
        <v>3</v>
      </c>
      <c r="C37" s="5">
        <v>2614</v>
      </c>
      <c r="D37" s="6">
        <v>15031</v>
      </c>
      <c r="E37" s="6">
        <v>21983</v>
      </c>
      <c r="F37" s="5">
        <v>0</v>
      </c>
      <c r="G37" s="6">
        <v>4923</v>
      </c>
      <c r="H37" s="6">
        <v>9578</v>
      </c>
      <c r="I37" s="24">
        <v>0</v>
      </c>
      <c r="J37" s="6">
        <v>2823</v>
      </c>
      <c r="K37" s="6">
        <v>29429</v>
      </c>
    </row>
    <row r="38" spans="2:11">
      <c r="B38" s="35">
        <v>4</v>
      </c>
      <c r="C38" s="5">
        <v>5652</v>
      </c>
      <c r="D38" s="6">
        <v>11014</v>
      </c>
      <c r="E38" s="6">
        <v>21332</v>
      </c>
      <c r="F38" s="5">
        <v>61</v>
      </c>
      <c r="G38" s="6">
        <v>7787</v>
      </c>
      <c r="H38" s="6">
        <v>6806</v>
      </c>
      <c r="I38" s="24">
        <v>0</v>
      </c>
      <c r="J38" s="6">
        <v>36008</v>
      </c>
      <c r="K38" s="6">
        <v>27269</v>
      </c>
    </row>
    <row r="39" spans="2:11">
      <c r="B39" s="35">
        <v>5</v>
      </c>
      <c r="C39" s="5">
        <v>7340</v>
      </c>
      <c r="D39" s="6">
        <v>9390</v>
      </c>
      <c r="E39" s="6">
        <v>35024</v>
      </c>
      <c r="F39" s="5">
        <v>4195</v>
      </c>
      <c r="G39" s="6">
        <v>7944</v>
      </c>
      <c r="H39" s="6">
        <v>10794</v>
      </c>
      <c r="I39" s="24">
        <v>0</v>
      </c>
      <c r="J39" s="6">
        <v>26584</v>
      </c>
      <c r="K39" s="6">
        <v>45739</v>
      </c>
    </row>
    <row r="40" spans="2:11">
      <c r="B40" s="35">
        <v>6</v>
      </c>
      <c r="C40" s="5">
        <v>6249</v>
      </c>
      <c r="D40" s="6">
        <v>7692</v>
      </c>
      <c r="E40" s="6">
        <v>34217</v>
      </c>
      <c r="F40" s="5">
        <v>2886</v>
      </c>
      <c r="G40" s="6">
        <v>7928</v>
      </c>
      <c r="H40" s="6">
        <v>13658</v>
      </c>
      <c r="I40" s="24">
        <v>974</v>
      </c>
      <c r="J40" s="6">
        <v>22304</v>
      </c>
      <c r="K40" s="6">
        <v>29188</v>
      </c>
    </row>
    <row r="41" spans="2:11">
      <c r="B41" s="35">
        <v>7</v>
      </c>
      <c r="C41" s="5">
        <v>6588</v>
      </c>
      <c r="D41" s="6">
        <v>11420</v>
      </c>
      <c r="E41" s="6">
        <v>24002</v>
      </c>
      <c r="F41" s="5">
        <v>4410</v>
      </c>
      <c r="G41" s="6">
        <v>7123</v>
      </c>
      <c r="H41" s="6">
        <v>9164</v>
      </c>
      <c r="I41" s="24">
        <v>2186</v>
      </c>
      <c r="J41" s="6">
        <v>20767</v>
      </c>
      <c r="K41" s="6">
        <v>22419</v>
      </c>
    </row>
    <row r="42" spans="2:11">
      <c r="B42" s="35">
        <v>8</v>
      </c>
      <c r="C42" s="5">
        <v>6006</v>
      </c>
      <c r="D42" s="6">
        <v>12780</v>
      </c>
      <c r="E42" s="6">
        <v>25281</v>
      </c>
      <c r="F42" s="5">
        <v>3649</v>
      </c>
      <c r="G42" s="6">
        <v>7955</v>
      </c>
      <c r="H42" s="6">
        <v>8373</v>
      </c>
      <c r="I42" s="24">
        <v>2857</v>
      </c>
      <c r="J42" s="6">
        <v>22579</v>
      </c>
      <c r="K42" s="6">
        <v>21489</v>
      </c>
    </row>
    <row r="43" spans="2:11">
      <c r="B43" s="35">
        <v>9</v>
      </c>
      <c r="C43" s="5">
        <v>8274</v>
      </c>
      <c r="D43" s="6">
        <v>8825</v>
      </c>
      <c r="E43" s="6">
        <v>23084</v>
      </c>
      <c r="F43" s="5">
        <v>4565</v>
      </c>
      <c r="G43" s="6">
        <v>6897</v>
      </c>
      <c r="H43" s="6">
        <v>6961</v>
      </c>
      <c r="I43" s="24">
        <v>4086</v>
      </c>
      <c r="J43" s="6">
        <v>21285</v>
      </c>
      <c r="K43" s="6">
        <v>18340</v>
      </c>
    </row>
    <row r="44" spans="2:11">
      <c r="B44" s="35">
        <v>10</v>
      </c>
      <c r="C44" s="5">
        <v>9587</v>
      </c>
      <c r="D44" s="6">
        <v>13163</v>
      </c>
      <c r="E44" s="6">
        <v>29530</v>
      </c>
      <c r="F44" s="5">
        <v>5150</v>
      </c>
      <c r="G44" s="6">
        <v>9674</v>
      </c>
      <c r="H44" s="6">
        <v>13128</v>
      </c>
      <c r="I44" s="24">
        <v>4799</v>
      </c>
      <c r="J44" s="6">
        <v>26685</v>
      </c>
      <c r="K44" s="6">
        <v>30498</v>
      </c>
    </row>
    <row r="45" spans="2:11">
      <c r="B45" s="35">
        <v>11</v>
      </c>
      <c r="C45" s="5">
        <v>9716</v>
      </c>
      <c r="D45" s="6">
        <v>20689</v>
      </c>
      <c r="E45" s="6">
        <v>33068</v>
      </c>
      <c r="F45" s="5">
        <v>7540</v>
      </c>
      <c r="G45" s="6">
        <v>10630</v>
      </c>
      <c r="H45" s="6">
        <v>16907</v>
      </c>
      <c r="I45" s="24">
        <v>2719</v>
      </c>
      <c r="J45" s="6">
        <v>24848</v>
      </c>
      <c r="K45" s="6">
        <v>36221</v>
      </c>
    </row>
    <row r="46" spans="2:11">
      <c r="B46" s="35">
        <v>12</v>
      </c>
      <c r="C46" s="5">
        <v>11814</v>
      </c>
      <c r="D46" s="6">
        <v>17584</v>
      </c>
      <c r="E46" s="6">
        <v>29319</v>
      </c>
      <c r="F46" s="5">
        <v>2805</v>
      </c>
      <c r="G46" s="6">
        <v>6761</v>
      </c>
      <c r="H46" s="6">
        <v>15194</v>
      </c>
      <c r="I46" s="24">
        <v>3497</v>
      </c>
      <c r="J46" s="6">
        <v>25858</v>
      </c>
      <c r="K46" s="6">
        <v>36754</v>
      </c>
    </row>
    <row r="47" spans="2:11" s="14" customFormat="1" ht="17.25" thickBot="1">
      <c r="B47" s="35" t="s">
        <v>31</v>
      </c>
      <c r="C47" s="11">
        <f t="shared" ref="C47:K47" si="2">SUM(C35:C46)</f>
        <v>73901</v>
      </c>
      <c r="D47" s="12">
        <f t="shared" si="2"/>
        <v>141516</v>
      </c>
      <c r="E47" s="12">
        <f t="shared" si="2"/>
        <v>308063</v>
      </c>
      <c r="F47" s="11">
        <f>SUM(F35:F46)</f>
        <v>35261</v>
      </c>
      <c r="G47" s="12">
        <f t="shared" si="2"/>
        <v>89476</v>
      </c>
      <c r="H47" s="12">
        <f t="shared" si="2"/>
        <v>125700</v>
      </c>
      <c r="I47" s="37">
        <f t="shared" si="2"/>
        <v>21118</v>
      </c>
      <c r="J47" s="12">
        <f t="shared" si="2"/>
        <v>236076</v>
      </c>
      <c r="K47" s="12">
        <f t="shared" si="2"/>
        <v>344014</v>
      </c>
    </row>
    <row r="48" spans="2:11">
      <c r="B48" s="70" t="s">
        <v>30</v>
      </c>
      <c r="C48" s="69" t="s">
        <v>16</v>
      </c>
      <c r="D48" s="68"/>
      <c r="E48" s="68"/>
      <c r="F48" s="69" t="s">
        <v>17</v>
      </c>
      <c r="G48" s="68"/>
      <c r="H48" s="68"/>
      <c r="I48" s="67" t="s">
        <v>18</v>
      </c>
      <c r="J48" s="68"/>
      <c r="K48" s="68"/>
    </row>
    <row r="49" spans="2:11">
      <c r="B49" s="70"/>
      <c r="C49" s="1">
        <v>2023</v>
      </c>
      <c r="D49" s="2">
        <v>2024</v>
      </c>
      <c r="E49" s="2">
        <v>2025</v>
      </c>
      <c r="F49" s="1">
        <v>2023</v>
      </c>
      <c r="G49" s="2">
        <v>2024</v>
      </c>
      <c r="H49" s="2">
        <v>2025</v>
      </c>
      <c r="I49" s="23">
        <v>2023</v>
      </c>
      <c r="J49" s="2">
        <v>2024</v>
      </c>
      <c r="K49" s="2">
        <v>2025</v>
      </c>
    </row>
    <row r="50" spans="2:11">
      <c r="B50" s="35">
        <v>1</v>
      </c>
      <c r="C50" s="5">
        <v>0</v>
      </c>
      <c r="D50" s="6">
        <v>5654</v>
      </c>
      <c r="E50" s="6">
        <v>11087</v>
      </c>
      <c r="F50" s="5">
        <v>0</v>
      </c>
      <c r="G50" s="6">
        <v>0</v>
      </c>
      <c r="H50" s="6">
        <v>15337</v>
      </c>
      <c r="I50" s="24">
        <v>0</v>
      </c>
      <c r="J50" s="6">
        <v>0</v>
      </c>
      <c r="K50" s="6"/>
    </row>
    <row r="51" spans="2:11">
      <c r="B51" s="35">
        <v>2</v>
      </c>
      <c r="C51" s="5">
        <v>0</v>
      </c>
      <c r="D51" s="6">
        <v>5197</v>
      </c>
      <c r="E51" s="6">
        <v>10010</v>
      </c>
      <c r="F51" s="5">
        <v>0</v>
      </c>
      <c r="G51" s="6">
        <v>0</v>
      </c>
      <c r="H51" s="6">
        <v>19453</v>
      </c>
      <c r="I51" s="24">
        <v>0</v>
      </c>
      <c r="J51" s="6">
        <v>0</v>
      </c>
      <c r="K51" s="6"/>
    </row>
    <row r="52" spans="2:11">
      <c r="B52" s="35">
        <v>3</v>
      </c>
      <c r="C52" s="5">
        <v>0</v>
      </c>
      <c r="D52" s="6">
        <v>6782</v>
      </c>
      <c r="E52" s="6">
        <v>11579</v>
      </c>
      <c r="F52" s="5">
        <v>0</v>
      </c>
      <c r="G52" s="6">
        <v>159</v>
      </c>
      <c r="H52" s="6">
        <v>18159</v>
      </c>
      <c r="I52" s="24">
        <v>0</v>
      </c>
      <c r="J52" s="6">
        <v>0</v>
      </c>
      <c r="K52" s="6"/>
    </row>
    <row r="53" spans="2:11">
      <c r="B53" s="35">
        <v>4</v>
      </c>
      <c r="C53" s="5">
        <v>0</v>
      </c>
      <c r="D53" s="6">
        <v>9306</v>
      </c>
      <c r="E53" s="6">
        <v>13579</v>
      </c>
      <c r="F53" s="5">
        <v>0</v>
      </c>
      <c r="G53" s="6">
        <v>1124</v>
      </c>
      <c r="H53" s="6">
        <v>12744</v>
      </c>
      <c r="I53" s="24">
        <v>0</v>
      </c>
      <c r="J53" s="6">
        <v>0</v>
      </c>
      <c r="K53" s="6"/>
    </row>
    <row r="54" spans="2:11">
      <c r="B54" s="35">
        <v>5</v>
      </c>
      <c r="C54" s="5">
        <v>0</v>
      </c>
      <c r="D54" s="6">
        <v>9080</v>
      </c>
      <c r="E54" s="6">
        <v>18094</v>
      </c>
      <c r="F54" s="5">
        <v>0</v>
      </c>
      <c r="G54" s="6">
        <v>1050</v>
      </c>
      <c r="H54" s="6">
        <v>19492</v>
      </c>
      <c r="I54" s="24">
        <v>0</v>
      </c>
      <c r="J54" s="6">
        <v>0</v>
      </c>
      <c r="K54" s="6"/>
    </row>
    <row r="55" spans="2:11">
      <c r="B55" s="35">
        <v>6</v>
      </c>
      <c r="C55" s="5">
        <v>0</v>
      </c>
      <c r="D55" s="6">
        <v>19440</v>
      </c>
      <c r="E55" s="6">
        <v>17934</v>
      </c>
      <c r="F55" s="5">
        <v>0</v>
      </c>
      <c r="G55" s="6">
        <v>3306</v>
      </c>
      <c r="H55" s="6">
        <v>18495</v>
      </c>
      <c r="I55" s="24">
        <v>0</v>
      </c>
      <c r="J55" s="6">
        <v>0</v>
      </c>
      <c r="K55" s="6">
        <v>156</v>
      </c>
    </row>
    <row r="56" spans="2:11">
      <c r="B56" s="35">
        <v>7</v>
      </c>
      <c r="C56" s="5">
        <v>0</v>
      </c>
      <c r="D56" s="6">
        <v>7302</v>
      </c>
      <c r="E56" s="6">
        <v>14798</v>
      </c>
      <c r="F56" s="5">
        <v>0</v>
      </c>
      <c r="G56" s="6">
        <v>10179</v>
      </c>
      <c r="H56" s="6">
        <v>23171</v>
      </c>
      <c r="I56" s="24">
        <v>0</v>
      </c>
      <c r="J56" s="6">
        <v>0</v>
      </c>
      <c r="K56" s="6">
        <v>4583</v>
      </c>
    </row>
    <row r="57" spans="2:11">
      <c r="B57" s="35">
        <v>8</v>
      </c>
      <c r="C57" s="5">
        <v>0</v>
      </c>
      <c r="D57" s="6">
        <v>9353</v>
      </c>
      <c r="E57" s="6">
        <v>12431</v>
      </c>
      <c r="F57" s="5">
        <v>0</v>
      </c>
      <c r="G57" s="6">
        <v>5833</v>
      </c>
      <c r="H57" s="6">
        <v>18178</v>
      </c>
      <c r="I57" s="24">
        <v>0</v>
      </c>
      <c r="J57" s="6">
        <v>0</v>
      </c>
      <c r="K57" s="6">
        <v>5599</v>
      </c>
    </row>
    <row r="58" spans="2:11">
      <c r="B58" s="35">
        <v>9</v>
      </c>
      <c r="C58" s="5">
        <v>196</v>
      </c>
      <c r="D58" s="6">
        <v>6077</v>
      </c>
      <c r="E58" s="6">
        <v>14078</v>
      </c>
      <c r="F58" s="5">
        <v>0</v>
      </c>
      <c r="G58" s="6">
        <v>4207</v>
      </c>
      <c r="H58" s="6">
        <v>14986</v>
      </c>
      <c r="I58" s="24">
        <v>0</v>
      </c>
      <c r="J58" s="6">
        <v>0</v>
      </c>
      <c r="K58" s="6">
        <v>6601</v>
      </c>
    </row>
    <row r="59" spans="2:11">
      <c r="B59" s="35">
        <v>10</v>
      </c>
      <c r="C59" s="5">
        <v>5351</v>
      </c>
      <c r="D59" s="6">
        <v>12310</v>
      </c>
      <c r="E59" s="6">
        <v>21196</v>
      </c>
      <c r="F59" s="5">
        <v>0</v>
      </c>
      <c r="G59" s="6">
        <v>9716</v>
      </c>
      <c r="H59" s="6">
        <v>23448</v>
      </c>
      <c r="I59" s="24">
        <v>0</v>
      </c>
      <c r="J59" s="6">
        <v>0</v>
      </c>
      <c r="K59" s="6">
        <v>8645</v>
      </c>
    </row>
    <row r="60" spans="2:11">
      <c r="B60" s="35">
        <v>11</v>
      </c>
      <c r="C60" s="5">
        <v>4990</v>
      </c>
      <c r="D60" s="6">
        <v>15287</v>
      </c>
      <c r="E60" s="6">
        <v>19696</v>
      </c>
      <c r="F60" s="5">
        <v>0</v>
      </c>
      <c r="G60" s="6">
        <v>10898</v>
      </c>
      <c r="H60" s="6">
        <v>22835</v>
      </c>
      <c r="I60" s="24">
        <v>0</v>
      </c>
      <c r="J60" s="6">
        <v>0</v>
      </c>
      <c r="K60" s="6">
        <v>9114</v>
      </c>
    </row>
    <row r="61" spans="2:11">
      <c r="B61" s="35">
        <v>12</v>
      </c>
      <c r="C61" s="5">
        <v>4272</v>
      </c>
      <c r="D61" s="6">
        <v>10197</v>
      </c>
      <c r="E61" s="6">
        <v>21728</v>
      </c>
      <c r="F61" s="5">
        <v>0</v>
      </c>
      <c r="G61" s="6">
        <v>9675</v>
      </c>
      <c r="H61" s="6">
        <v>21796</v>
      </c>
      <c r="I61" s="24">
        <v>0</v>
      </c>
      <c r="J61" s="6">
        <v>0</v>
      </c>
      <c r="K61" s="6">
        <v>7712</v>
      </c>
    </row>
    <row r="62" spans="2:11" s="14" customFormat="1" ht="17.25" thickBot="1">
      <c r="B62" s="35" t="s">
        <v>31</v>
      </c>
      <c r="C62" s="12">
        <f t="shared" ref="C62:K62" si="3">SUM(C50:C61)</f>
        <v>14809</v>
      </c>
      <c r="D62" s="12">
        <f t="shared" si="3"/>
        <v>115985</v>
      </c>
      <c r="E62" s="12">
        <f t="shared" si="3"/>
        <v>186210</v>
      </c>
      <c r="F62" s="11">
        <f t="shared" si="3"/>
        <v>0</v>
      </c>
      <c r="G62" s="12">
        <f t="shared" si="3"/>
        <v>56147</v>
      </c>
      <c r="H62" s="12">
        <f t="shared" si="3"/>
        <v>228094</v>
      </c>
      <c r="I62" s="37">
        <f t="shared" si="3"/>
        <v>0</v>
      </c>
      <c r="J62" s="12">
        <f t="shared" si="3"/>
        <v>0</v>
      </c>
      <c r="K62" s="12">
        <f t="shared" si="3"/>
        <v>42410</v>
      </c>
    </row>
    <row r="63" spans="2:11" ht="21" thickBot="1">
      <c r="B63" s="76" t="s">
        <v>19</v>
      </c>
      <c r="C63" s="77"/>
      <c r="D63" s="77"/>
      <c r="E63" s="77"/>
      <c r="F63" s="77"/>
      <c r="G63" s="77"/>
      <c r="H63" s="77"/>
      <c r="I63" s="77"/>
      <c r="J63" s="77"/>
      <c r="K63" s="77"/>
    </row>
    <row r="64" spans="2:11">
      <c r="B64" s="70" t="s">
        <v>30</v>
      </c>
      <c r="C64" s="69" t="s">
        <v>21</v>
      </c>
      <c r="D64" s="68"/>
      <c r="E64" s="68"/>
      <c r="F64" s="69" t="s">
        <v>23</v>
      </c>
      <c r="G64" s="68"/>
      <c r="H64" s="68"/>
      <c r="I64" s="67" t="s">
        <v>20</v>
      </c>
      <c r="J64" s="68"/>
      <c r="K64" s="68"/>
    </row>
    <row r="65" spans="2:11">
      <c r="B65" s="70"/>
      <c r="C65" s="1">
        <v>2023</v>
      </c>
      <c r="D65" s="2">
        <v>2024</v>
      </c>
      <c r="E65" s="2">
        <v>2025</v>
      </c>
      <c r="F65" s="1">
        <v>2023</v>
      </c>
      <c r="G65" s="2">
        <v>2024</v>
      </c>
      <c r="H65" s="2">
        <v>2025</v>
      </c>
      <c r="I65" s="23">
        <v>2023</v>
      </c>
      <c r="J65" s="2">
        <v>2024</v>
      </c>
      <c r="K65" s="2">
        <v>2025</v>
      </c>
    </row>
    <row r="66" spans="2:11">
      <c r="B66" s="35">
        <v>1</v>
      </c>
      <c r="C66" s="5">
        <v>20632</v>
      </c>
      <c r="D66" s="6">
        <v>28082</v>
      </c>
      <c r="E66" s="6">
        <v>43806</v>
      </c>
      <c r="F66" s="5">
        <v>14404</v>
      </c>
      <c r="G66" s="6">
        <v>20115</v>
      </c>
      <c r="H66" s="6">
        <v>20526</v>
      </c>
      <c r="I66" s="24">
        <v>16042</v>
      </c>
      <c r="J66" s="6">
        <v>38570</v>
      </c>
      <c r="K66" s="6">
        <v>44448</v>
      </c>
    </row>
    <row r="67" spans="2:11">
      <c r="B67" s="35">
        <v>2</v>
      </c>
      <c r="C67" s="5">
        <v>21774</v>
      </c>
      <c r="D67" s="6">
        <v>29869</v>
      </c>
      <c r="E67" s="6">
        <v>20767</v>
      </c>
      <c r="F67" s="5">
        <v>15480</v>
      </c>
      <c r="G67" s="6">
        <v>17373</v>
      </c>
      <c r="H67" s="6">
        <v>21210</v>
      </c>
      <c r="I67" s="24">
        <v>19914</v>
      </c>
      <c r="J67" s="6">
        <v>27420</v>
      </c>
      <c r="K67" s="6">
        <v>51843</v>
      </c>
    </row>
    <row r="68" spans="2:11">
      <c r="B68" s="35">
        <v>3</v>
      </c>
      <c r="C68" s="5">
        <v>27710</v>
      </c>
      <c r="D68" s="6">
        <v>30527</v>
      </c>
      <c r="E68" s="6">
        <v>74839</v>
      </c>
      <c r="F68" s="5">
        <v>19496</v>
      </c>
      <c r="G68" s="6">
        <v>21300</v>
      </c>
      <c r="H68" s="6">
        <v>43942</v>
      </c>
      <c r="I68" s="24">
        <v>35770</v>
      </c>
      <c r="J68" s="6">
        <v>35695</v>
      </c>
      <c r="K68" s="6">
        <v>64211</v>
      </c>
    </row>
    <row r="69" spans="2:11">
      <c r="B69" s="35">
        <v>4</v>
      </c>
      <c r="C69" s="5">
        <v>31194</v>
      </c>
      <c r="D69" s="6">
        <v>43516</v>
      </c>
      <c r="E69" s="6">
        <v>65175</v>
      </c>
      <c r="F69" s="5">
        <v>23403</v>
      </c>
      <c r="G69" s="6">
        <v>27881</v>
      </c>
      <c r="H69" s="6">
        <v>24654</v>
      </c>
      <c r="I69" s="24">
        <v>29760</v>
      </c>
      <c r="J69" s="6">
        <v>31574</v>
      </c>
      <c r="K69" s="6">
        <v>54213</v>
      </c>
    </row>
    <row r="70" spans="2:11">
      <c r="B70" s="35">
        <v>5</v>
      </c>
      <c r="C70" s="5">
        <v>27561</v>
      </c>
      <c r="D70" s="6">
        <v>37567</v>
      </c>
      <c r="E70" s="6">
        <v>67545</v>
      </c>
      <c r="F70" s="5">
        <v>18216</v>
      </c>
      <c r="G70" s="6">
        <v>26473</v>
      </c>
      <c r="H70" s="6">
        <v>27487</v>
      </c>
      <c r="I70" s="24">
        <v>23796</v>
      </c>
      <c r="J70" s="6">
        <v>53370</v>
      </c>
      <c r="K70" s="6">
        <v>73307</v>
      </c>
    </row>
    <row r="71" spans="2:11">
      <c r="B71" s="35">
        <v>6</v>
      </c>
      <c r="C71" s="5">
        <v>27618</v>
      </c>
      <c r="D71" s="6">
        <v>35149</v>
      </c>
      <c r="E71" s="6">
        <v>68430</v>
      </c>
      <c r="F71" s="5">
        <v>13951</v>
      </c>
      <c r="G71" s="6">
        <v>34815</v>
      </c>
      <c r="H71" s="6">
        <v>26057</v>
      </c>
      <c r="I71" s="24">
        <v>30083</v>
      </c>
      <c r="J71" s="6">
        <v>39470</v>
      </c>
      <c r="K71" s="6">
        <v>56875</v>
      </c>
    </row>
    <row r="72" spans="2:11">
      <c r="B72" s="35">
        <v>7</v>
      </c>
      <c r="C72" s="5">
        <v>18713</v>
      </c>
      <c r="D72" s="6">
        <v>29433</v>
      </c>
      <c r="E72" s="6">
        <v>39514</v>
      </c>
      <c r="F72" s="5">
        <v>13289</v>
      </c>
      <c r="G72" s="6">
        <v>22775</v>
      </c>
      <c r="H72" s="6">
        <v>31829</v>
      </c>
      <c r="I72" s="24">
        <v>33012</v>
      </c>
      <c r="J72" s="6">
        <v>31617</v>
      </c>
      <c r="K72" s="6">
        <v>49115</v>
      </c>
    </row>
    <row r="73" spans="2:11">
      <c r="B73" s="35">
        <v>8</v>
      </c>
      <c r="C73" s="5">
        <v>15965</v>
      </c>
      <c r="D73" s="6">
        <v>37004</v>
      </c>
      <c r="E73" s="6">
        <v>46886</v>
      </c>
      <c r="F73" s="5">
        <v>14421</v>
      </c>
      <c r="G73" s="6">
        <v>28989</v>
      </c>
      <c r="H73" s="6">
        <v>24259</v>
      </c>
      <c r="I73" s="24">
        <v>23728</v>
      </c>
      <c r="J73" s="6">
        <v>27403</v>
      </c>
      <c r="K73" s="6">
        <v>44687</v>
      </c>
    </row>
    <row r="74" spans="2:11">
      <c r="B74" s="35">
        <v>9</v>
      </c>
      <c r="C74" s="5">
        <v>18190</v>
      </c>
      <c r="D74" s="6">
        <v>30923</v>
      </c>
      <c r="E74" s="6">
        <v>39640</v>
      </c>
      <c r="F74" s="5">
        <v>14651</v>
      </c>
      <c r="G74" s="6">
        <v>21580</v>
      </c>
      <c r="H74" s="6">
        <v>21696</v>
      </c>
      <c r="I74" s="24">
        <v>17378</v>
      </c>
      <c r="J74" s="6">
        <v>32683</v>
      </c>
      <c r="K74" s="6">
        <v>43805</v>
      </c>
    </row>
    <row r="75" spans="2:11">
      <c r="B75" s="35">
        <v>10</v>
      </c>
      <c r="C75" s="5">
        <v>24269</v>
      </c>
      <c r="D75" s="6">
        <v>51282</v>
      </c>
      <c r="E75" s="6">
        <v>64424</v>
      </c>
      <c r="F75" s="5">
        <v>16843</v>
      </c>
      <c r="G75" s="6">
        <v>31256</v>
      </c>
      <c r="H75" s="6">
        <v>26961</v>
      </c>
      <c r="I75" s="24">
        <v>28656</v>
      </c>
      <c r="J75" s="6">
        <v>40810</v>
      </c>
      <c r="K75" s="6">
        <v>48149</v>
      </c>
    </row>
    <row r="76" spans="2:11">
      <c r="B76" s="35">
        <v>11</v>
      </c>
      <c r="C76" s="5">
        <v>33899</v>
      </c>
      <c r="D76" s="6">
        <v>52558</v>
      </c>
      <c r="E76" s="6">
        <v>70773</v>
      </c>
      <c r="F76" s="5">
        <v>18208</v>
      </c>
      <c r="G76" s="6">
        <v>21960</v>
      </c>
      <c r="H76" s="6">
        <v>37606</v>
      </c>
      <c r="I76" s="24">
        <v>32234</v>
      </c>
      <c r="J76" s="6">
        <v>51739</v>
      </c>
      <c r="K76" s="6">
        <v>85002</v>
      </c>
    </row>
    <row r="77" spans="2:11">
      <c r="B77" s="35">
        <v>12</v>
      </c>
      <c r="C77" s="5">
        <v>31941</v>
      </c>
      <c r="D77" s="6">
        <v>56231</v>
      </c>
      <c r="E77" s="6">
        <v>63558</v>
      </c>
      <c r="F77" s="5">
        <v>14461</v>
      </c>
      <c r="G77" s="6">
        <v>42498</v>
      </c>
      <c r="H77" s="6">
        <v>29872</v>
      </c>
      <c r="I77" s="24">
        <v>34007</v>
      </c>
      <c r="J77" s="6">
        <v>54537</v>
      </c>
      <c r="K77" s="6">
        <v>71849</v>
      </c>
    </row>
    <row r="78" spans="2:11" s="14" customFormat="1" ht="17.25" thickBot="1">
      <c r="B78" s="35" t="s">
        <v>31</v>
      </c>
      <c r="C78" s="11">
        <f t="shared" ref="C78:K78" si="4">SUM(C66:C77)</f>
        <v>299466</v>
      </c>
      <c r="D78" s="12">
        <f t="shared" si="4"/>
        <v>462141</v>
      </c>
      <c r="E78" s="12">
        <f t="shared" si="4"/>
        <v>665357</v>
      </c>
      <c r="F78" s="11">
        <f t="shared" si="4"/>
        <v>196823</v>
      </c>
      <c r="G78" s="12">
        <f t="shared" si="4"/>
        <v>317015</v>
      </c>
      <c r="H78" s="12">
        <f t="shared" si="4"/>
        <v>336099</v>
      </c>
      <c r="I78" s="37">
        <f t="shared" si="4"/>
        <v>324380</v>
      </c>
      <c r="J78" s="12">
        <f t="shared" si="4"/>
        <v>464888</v>
      </c>
      <c r="K78" s="12">
        <f t="shared" si="4"/>
        <v>687504</v>
      </c>
    </row>
    <row r="79" spans="2:11">
      <c r="B79" s="70" t="s">
        <v>30</v>
      </c>
      <c r="C79" s="69" t="s">
        <v>24</v>
      </c>
      <c r="D79" s="68"/>
      <c r="E79" s="68"/>
      <c r="F79" s="69" t="s">
        <v>22</v>
      </c>
      <c r="G79" s="68"/>
      <c r="H79" s="68"/>
      <c r="I79" s="67" t="s">
        <v>25</v>
      </c>
      <c r="J79" s="68"/>
      <c r="K79" s="68"/>
    </row>
    <row r="80" spans="2:11">
      <c r="B80" s="70"/>
      <c r="C80" s="1">
        <v>2023</v>
      </c>
      <c r="D80" s="2">
        <v>2024</v>
      </c>
      <c r="E80" s="2">
        <v>2025</v>
      </c>
      <c r="F80" s="1">
        <v>2023</v>
      </c>
      <c r="G80" s="2">
        <v>2024</v>
      </c>
      <c r="H80" s="2">
        <v>2025</v>
      </c>
      <c r="I80" s="23">
        <v>2023</v>
      </c>
      <c r="J80" s="2">
        <v>2024</v>
      </c>
      <c r="K80" s="2">
        <v>2025</v>
      </c>
    </row>
    <row r="81" spans="2:11">
      <c r="B81" s="35">
        <v>1</v>
      </c>
      <c r="C81" s="5">
        <v>2885</v>
      </c>
      <c r="D81" s="6">
        <v>7797</v>
      </c>
      <c r="E81" s="6">
        <v>16903</v>
      </c>
      <c r="F81" s="5">
        <v>0</v>
      </c>
      <c r="G81" s="6">
        <v>13782</v>
      </c>
      <c r="H81" s="6">
        <v>28512</v>
      </c>
      <c r="I81" s="24">
        <v>0</v>
      </c>
      <c r="J81" s="6">
        <v>0</v>
      </c>
      <c r="K81" s="6">
        <v>17461</v>
      </c>
    </row>
    <row r="82" spans="2:11">
      <c r="B82" s="35">
        <v>2</v>
      </c>
      <c r="C82" s="5">
        <v>3993</v>
      </c>
      <c r="D82" s="6">
        <v>8129</v>
      </c>
      <c r="E82" s="6">
        <v>18831</v>
      </c>
      <c r="F82" s="5">
        <v>0</v>
      </c>
      <c r="G82" s="6">
        <v>8098</v>
      </c>
      <c r="H82" s="6">
        <v>29125</v>
      </c>
      <c r="I82" s="24">
        <v>0</v>
      </c>
      <c r="J82" s="6">
        <v>0</v>
      </c>
      <c r="K82" s="6">
        <v>14828</v>
      </c>
    </row>
    <row r="83" spans="2:11">
      <c r="B83" s="35">
        <v>3</v>
      </c>
      <c r="C83" s="5">
        <v>5916</v>
      </c>
      <c r="D83" s="6">
        <v>6051</v>
      </c>
      <c r="E83" s="6">
        <v>25886</v>
      </c>
      <c r="F83" s="5">
        <v>0</v>
      </c>
      <c r="G83" s="6">
        <v>7101</v>
      </c>
      <c r="H83" s="6">
        <v>30046</v>
      </c>
      <c r="I83" s="24">
        <v>0</v>
      </c>
      <c r="J83" s="6">
        <v>0</v>
      </c>
      <c r="K83" s="6">
        <v>15567</v>
      </c>
    </row>
    <row r="84" spans="2:11">
      <c r="B84" s="35">
        <v>4</v>
      </c>
      <c r="C84" s="5">
        <v>5859</v>
      </c>
      <c r="D84" s="6">
        <v>9055</v>
      </c>
      <c r="E84" s="6">
        <v>29737</v>
      </c>
      <c r="F84" s="5">
        <v>0</v>
      </c>
      <c r="G84" s="6">
        <v>10714</v>
      </c>
      <c r="H84" s="6">
        <v>32227</v>
      </c>
      <c r="I84" s="24">
        <v>0</v>
      </c>
      <c r="J84" s="6">
        <v>1733</v>
      </c>
      <c r="K84" s="6">
        <v>14710</v>
      </c>
    </row>
    <row r="85" spans="2:11">
      <c r="B85" s="35">
        <v>5</v>
      </c>
      <c r="C85" s="5">
        <v>5077</v>
      </c>
      <c r="D85" s="6">
        <v>7328</v>
      </c>
      <c r="E85" s="6">
        <v>28840</v>
      </c>
      <c r="F85" s="5">
        <v>0</v>
      </c>
      <c r="G85" s="6">
        <v>13921</v>
      </c>
      <c r="H85" s="6">
        <v>32859</v>
      </c>
      <c r="I85" s="24">
        <v>0</v>
      </c>
      <c r="J85" s="6">
        <v>3321</v>
      </c>
      <c r="K85" s="6">
        <v>32669</v>
      </c>
    </row>
    <row r="86" spans="2:11">
      <c r="B86" s="35">
        <v>6</v>
      </c>
      <c r="C86" s="5">
        <v>7825</v>
      </c>
      <c r="D86" s="6">
        <v>8251</v>
      </c>
      <c r="E86" s="6">
        <v>29600</v>
      </c>
      <c r="F86" s="5">
        <v>0</v>
      </c>
      <c r="G86" s="6">
        <v>12396</v>
      </c>
      <c r="H86" s="6">
        <v>35055</v>
      </c>
      <c r="I86" s="24">
        <v>0</v>
      </c>
      <c r="J86" s="6">
        <v>3480</v>
      </c>
      <c r="K86" s="6">
        <v>18220</v>
      </c>
    </row>
    <row r="87" spans="2:11">
      <c r="B87" s="35">
        <v>7</v>
      </c>
      <c r="C87" s="5">
        <v>4737</v>
      </c>
      <c r="D87" s="6">
        <v>8653</v>
      </c>
      <c r="E87" s="6">
        <v>24932</v>
      </c>
      <c r="F87" s="5">
        <v>0</v>
      </c>
      <c r="G87" s="6">
        <v>14607</v>
      </c>
      <c r="H87" s="6">
        <v>31464</v>
      </c>
      <c r="I87" s="24">
        <v>0</v>
      </c>
      <c r="J87" s="6">
        <v>5409</v>
      </c>
      <c r="K87" s="6">
        <v>16421</v>
      </c>
    </row>
    <row r="88" spans="2:11">
      <c r="B88" s="35">
        <v>8</v>
      </c>
      <c r="C88" s="5">
        <v>5809</v>
      </c>
      <c r="D88" s="6">
        <v>11096</v>
      </c>
      <c r="E88" s="6">
        <v>29352</v>
      </c>
      <c r="F88" s="5">
        <v>0</v>
      </c>
      <c r="G88" s="6">
        <v>14452</v>
      </c>
      <c r="H88" s="6">
        <v>33420</v>
      </c>
      <c r="I88" s="24">
        <v>0</v>
      </c>
      <c r="J88" s="6">
        <v>6006</v>
      </c>
      <c r="K88" s="6">
        <v>22212</v>
      </c>
    </row>
    <row r="89" spans="2:11">
      <c r="B89" s="35">
        <v>9</v>
      </c>
      <c r="C89" s="5">
        <v>3672</v>
      </c>
      <c r="D89" s="6">
        <v>9895</v>
      </c>
      <c r="E89" s="6">
        <v>21062</v>
      </c>
      <c r="F89" s="5">
        <v>0</v>
      </c>
      <c r="G89" s="6">
        <v>15866</v>
      </c>
      <c r="H89" s="6">
        <v>25426</v>
      </c>
      <c r="I89" s="24">
        <v>0</v>
      </c>
      <c r="J89" s="6">
        <v>6731</v>
      </c>
      <c r="K89" s="6">
        <v>12260</v>
      </c>
    </row>
    <row r="90" spans="2:11">
      <c r="B90" s="35">
        <v>10</v>
      </c>
      <c r="C90" s="5">
        <v>9108</v>
      </c>
      <c r="D90" s="6">
        <v>16493</v>
      </c>
      <c r="E90" s="6">
        <v>33165</v>
      </c>
      <c r="F90" s="5">
        <v>436</v>
      </c>
      <c r="G90" s="6">
        <v>24790</v>
      </c>
      <c r="H90" s="6">
        <v>44160</v>
      </c>
      <c r="I90" s="24">
        <v>0</v>
      </c>
      <c r="J90" s="6">
        <v>9894</v>
      </c>
      <c r="K90" s="6">
        <v>22452</v>
      </c>
    </row>
    <row r="91" spans="2:11">
      <c r="B91" s="35">
        <v>11</v>
      </c>
      <c r="C91" s="5">
        <v>9007</v>
      </c>
      <c r="D91" s="6">
        <v>16360</v>
      </c>
      <c r="E91" s="6">
        <v>32094</v>
      </c>
      <c r="F91" s="5">
        <v>5916</v>
      </c>
      <c r="G91" s="6">
        <v>22137</v>
      </c>
      <c r="H91" s="6">
        <v>45135</v>
      </c>
      <c r="I91" s="24">
        <v>0</v>
      </c>
      <c r="J91" s="6">
        <v>9667</v>
      </c>
      <c r="K91" s="6">
        <v>35609</v>
      </c>
    </row>
    <row r="92" spans="2:11">
      <c r="B92" s="35">
        <v>12</v>
      </c>
      <c r="C92" s="5">
        <v>8581</v>
      </c>
      <c r="D92" s="6">
        <v>20704</v>
      </c>
      <c r="E92" s="6">
        <v>33211</v>
      </c>
      <c r="F92" s="5">
        <v>7677</v>
      </c>
      <c r="G92" s="6">
        <v>30832</v>
      </c>
      <c r="H92" s="6">
        <v>51285</v>
      </c>
      <c r="I92" s="24">
        <v>0</v>
      </c>
      <c r="J92" s="6">
        <v>12162</v>
      </c>
      <c r="K92" s="6">
        <v>29215</v>
      </c>
    </row>
    <row r="93" spans="2:11" s="14" customFormat="1" ht="17.25" thickBot="1">
      <c r="B93" s="35" t="s">
        <v>31</v>
      </c>
      <c r="C93" s="11">
        <f t="shared" ref="C93:K93" si="5">SUM(C81:C92)</f>
        <v>72469</v>
      </c>
      <c r="D93" s="12">
        <f t="shared" si="5"/>
        <v>129812</v>
      </c>
      <c r="E93" s="12">
        <f t="shared" si="5"/>
        <v>323613</v>
      </c>
      <c r="F93" s="11">
        <f t="shared" si="5"/>
        <v>14029</v>
      </c>
      <c r="G93" s="12">
        <f t="shared" si="5"/>
        <v>188696</v>
      </c>
      <c r="H93" s="12">
        <f t="shared" si="5"/>
        <v>418714</v>
      </c>
      <c r="I93" s="37">
        <f t="shared" si="5"/>
        <v>0</v>
      </c>
      <c r="J93" s="12">
        <f t="shared" si="5"/>
        <v>58403</v>
      </c>
      <c r="K93" s="12">
        <f t="shared" si="5"/>
        <v>251624</v>
      </c>
    </row>
    <row r="94" spans="2:11">
      <c r="B94" s="70" t="s">
        <v>30</v>
      </c>
      <c r="C94" s="69" t="s">
        <v>26</v>
      </c>
      <c r="D94" s="68"/>
      <c r="E94" s="68"/>
      <c r="F94" s="69" t="s">
        <v>27</v>
      </c>
      <c r="G94" s="68"/>
      <c r="H94" s="68"/>
      <c r="I94" s="67" t="s">
        <v>28</v>
      </c>
      <c r="J94" s="68"/>
      <c r="K94" s="68"/>
    </row>
    <row r="95" spans="2:11">
      <c r="B95" s="70"/>
      <c r="C95" s="1">
        <v>2023</v>
      </c>
      <c r="D95" s="2">
        <v>2024</v>
      </c>
      <c r="E95" s="2">
        <v>2025</v>
      </c>
      <c r="F95" s="1">
        <v>2023</v>
      </c>
      <c r="G95" s="2">
        <v>2024</v>
      </c>
      <c r="H95" s="2">
        <v>2025</v>
      </c>
      <c r="I95" s="23">
        <v>2023</v>
      </c>
      <c r="J95" s="2">
        <v>2024</v>
      </c>
      <c r="K95" s="2">
        <v>2025</v>
      </c>
    </row>
    <row r="96" spans="2:11">
      <c r="B96" s="35">
        <v>1</v>
      </c>
      <c r="C96" s="5">
        <v>0</v>
      </c>
      <c r="D96" s="6">
        <v>0</v>
      </c>
      <c r="E96" s="6">
        <v>7588</v>
      </c>
      <c r="F96" s="5">
        <v>0</v>
      </c>
      <c r="G96" s="6">
        <v>0</v>
      </c>
      <c r="H96" s="6"/>
      <c r="I96" s="24">
        <v>0</v>
      </c>
      <c r="J96" s="6">
        <v>0</v>
      </c>
      <c r="K96" s="6"/>
    </row>
    <row r="97" spans="2:11">
      <c r="B97" s="35">
        <v>2</v>
      </c>
      <c r="C97" s="5">
        <v>0</v>
      </c>
      <c r="D97" s="6">
        <v>0</v>
      </c>
      <c r="E97" s="6">
        <v>8130</v>
      </c>
      <c r="F97" s="5">
        <v>0</v>
      </c>
      <c r="G97" s="6">
        <v>0</v>
      </c>
      <c r="H97" s="6"/>
      <c r="I97" s="24">
        <v>0</v>
      </c>
      <c r="J97" s="6">
        <v>0</v>
      </c>
      <c r="K97" s="6"/>
    </row>
    <row r="98" spans="2:11">
      <c r="B98" s="35">
        <v>3</v>
      </c>
      <c r="C98" s="5">
        <v>0</v>
      </c>
      <c r="D98" s="6">
        <v>0</v>
      </c>
      <c r="E98" s="6">
        <v>9605</v>
      </c>
      <c r="F98" s="5">
        <v>0</v>
      </c>
      <c r="G98" s="6">
        <v>0</v>
      </c>
      <c r="H98" s="6"/>
      <c r="I98" s="24">
        <v>0</v>
      </c>
      <c r="J98" s="6">
        <v>0</v>
      </c>
      <c r="K98" s="6"/>
    </row>
    <row r="99" spans="2:11">
      <c r="B99" s="35">
        <v>4</v>
      </c>
      <c r="C99" s="5">
        <v>0</v>
      </c>
      <c r="D99" s="6">
        <v>0</v>
      </c>
      <c r="E99" s="6">
        <v>10448</v>
      </c>
      <c r="F99" s="5">
        <v>0</v>
      </c>
      <c r="G99" s="6">
        <v>0</v>
      </c>
      <c r="H99" s="6">
        <v>2657</v>
      </c>
      <c r="I99" s="24">
        <v>0</v>
      </c>
      <c r="J99" s="6">
        <v>0</v>
      </c>
      <c r="K99" s="6"/>
    </row>
    <row r="100" spans="2:11">
      <c r="B100" s="35">
        <v>5</v>
      </c>
      <c r="C100" s="5">
        <v>0</v>
      </c>
      <c r="D100" s="6">
        <v>0</v>
      </c>
      <c r="E100" s="6">
        <v>12136</v>
      </c>
      <c r="F100" s="5">
        <v>0</v>
      </c>
      <c r="G100" s="6">
        <v>0</v>
      </c>
      <c r="H100" s="6">
        <v>6512</v>
      </c>
      <c r="I100" s="24">
        <v>0</v>
      </c>
      <c r="J100" s="6">
        <v>0</v>
      </c>
      <c r="K100" s="6"/>
    </row>
    <row r="101" spans="2:11">
      <c r="B101" s="35">
        <v>6</v>
      </c>
      <c r="C101" s="5">
        <v>0</v>
      </c>
      <c r="D101" s="6">
        <v>0</v>
      </c>
      <c r="E101" s="6">
        <v>13317</v>
      </c>
      <c r="F101" s="5">
        <v>0</v>
      </c>
      <c r="G101" s="6">
        <v>0</v>
      </c>
      <c r="H101" s="6">
        <v>7383</v>
      </c>
      <c r="I101" s="24">
        <v>0</v>
      </c>
      <c r="J101" s="6">
        <v>0</v>
      </c>
      <c r="K101" s="6"/>
    </row>
    <row r="102" spans="2:11">
      <c r="B102" s="35">
        <v>7</v>
      </c>
      <c r="C102" s="5">
        <v>0</v>
      </c>
      <c r="D102" s="6">
        <v>0</v>
      </c>
      <c r="E102" s="6">
        <v>11628</v>
      </c>
      <c r="F102" s="5">
        <v>0</v>
      </c>
      <c r="G102" s="6">
        <v>0</v>
      </c>
      <c r="H102" s="6">
        <v>7458</v>
      </c>
      <c r="I102" s="24">
        <v>0</v>
      </c>
      <c r="J102" s="6">
        <v>0</v>
      </c>
      <c r="K102" s="6">
        <v>0</v>
      </c>
    </row>
    <row r="103" spans="2:11">
      <c r="B103" s="35">
        <v>8</v>
      </c>
      <c r="C103" s="5">
        <v>0</v>
      </c>
      <c r="D103" s="6">
        <v>0</v>
      </c>
      <c r="E103" s="6">
        <v>8335</v>
      </c>
      <c r="F103" s="5">
        <v>0</v>
      </c>
      <c r="G103" s="6">
        <v>0</v>
      </c>
      <c r="H103" s="6">
        <v>10185</v>
      </c>
      <c r="I103" s="24">
        <v>0</v>
      </c>
      <c r="J103" s="6">
        <v>0</v>
      </c>
      <c r="K103" s="6">
        <v>1096</v>
      </c>
    </row>
    <row r="104" spans="2:11">
      <c r="B104" s="35">
        <v>9</v>
      </c>
      <c r="C104" s="5">
        <v>0</v>
      </c>
      <c r="D104" s="6">
        <v>0</v>
      </c>
      <c r="E104" s="6">
        <v>9670</v>
      </c>
      <c r="F104" s="5">
        <v>0</v>
      </c>
      <c r="G104" s="6">
        <v>0</v>
      </c>
      <c r="H104" s="6">
        <v>8379</v>
      </c>
      <c r="I104" s="24">
        <v>0</v>
      </c>
      <c r="J104" s="6">
        <v>0</v>
      </c>
      <c r="K104" s="6">
        <v>4846</v>
      </c>
    </row>
    <row r="105" spans="2:11">
      <c r="B105" s="35">
        <v>10</v>
      </c>
      <c r="C105" s="5">
        <v>0</v>
      </c>
      <c r="D105" s="6">
        <v>2281</v>
      </c>
      <c r="E105" s="6">
        <v>11973</v>
      </c>
      <c r="F105" s="5">
        <v>0</v>
      </c>
      <c r="G105" s="6">
        <v>0</v>
      </c>
      <c r="H105" s="6">
        <v>19953</v>
      </c>
      <c r="I105" s="24">
        <v>0</v>
      </c>
      <c r="J105" s="6">
        <v>0</v>
      </c>
      <c r="K105" s="6">
        <v>8297</v>
      </c>
    </row>
    <row r="106" spans="2:11">
      <c r="B106" s="35">
        <v>11</v>
      </c>
      <c r="C106" s="5">
        <v>0</v>
      </c>
      <c r="D106" s="6">
        <v>6997</v>
      </c>
      <c r="E106" s="6">
        <v>13525</v>
      </c>
      <c r="F106" s="5">
        <v>0</v>
      </c>
      <c r="G106" s="6">
        <v>0</v>
      </c>
      <c r="H106" s="6">
        <v>14101</v>
      </c>
      <c r="I106" s="24">
        <v>0</v>
      </c>
      <c r="J106" s="6">
        <v>0</v>
      </c>
      <c r="K106" s="6">
        <v>23015</v>
      </c>
    </row>
    <row r="107" spans="2:11">
      <c r="B107" s="35">
        <v>12</v>
      </c>
      <c r="C107" s="5">
        <v>0</v>
      </c>
      <c r="D107" s="6">
        <v>13600</v>
      </c>
      <c r="E107" s="6">
        <v>18934</v>
      </c>
      <c r="F107" s="5">
        <v>0</v>
      </c>
      <c r="G107" s="6">
        <v>0</v>
      </c>
      <c r="H107" s="6">
        <v>16130</v>
      </c>
      <c r="I107" s="24">
        <v>0</v>
      </c>
      <c r="J107" s="6">
        <v>0</v>
      </c>
      <c r="K107" s="6">
        <v>9324</v>
      </c>
    </row>
    <row r="108" spans="2:11" s="14" customFormat="1" ht="17.25" thickBot="1">
      <c r="B108" s="38" t="s">
        <v>31</v>
      </c>
      <c r="C108" s="11">
        <f t="shared" ref="C108:K108" si="6">SUM(C96:C107)</f>
        <v>0</v>
      </c>
      <c r="D108" s="12">
        <f t="shared" si="6"/>
        <v>22878</v>
      </c>
      <c r="E108" s="12">
        <f t="shared" si="6"/>
        <v>135289</v>
      </c>
      <c r="F108" s="11">
        <f t="shared" si="6"/>
        <v>0</v>
      </c>
      <c r="G108" s="12">
        <f t="shared" si="6"/>
        <v>0</v>
      </c>
      <c r="H108" s="12">
        <f t="shared" si="6"/>
        <v>92758</v>
      </c>
      <c r="I108" s="37">
        <f t="shared" si="6"/>
        <v>0</v>
      </c>
      <c r="J108" s="12">
        <f t="shared" si="6"/>
        <v>0</v>
      </c>
      <c r="K108" s="12">
        <f t="shared" si="6"/>
        <v>46578</v>
      </c>
    </row>
    <row r="109" spans="2:11">
      <c r="B109" s="71" t="s">
        <v>30</v>
      </c>
      <c r="C109" s="69" t="s">
        <v>47</v>
      </c>
      <c r="D109" s="68"/>
      <c r="E109" s="68"/>
      <c r="F109" s="65" t="s">
        <v>32</v>
      </c>
      <c r="G109" s="66"/>
      <c r="H109" s="66"/>
    </row>
    <row r="110" spans="2:11">
      <c r="B110" s="70"/>
      <c r="C110" s="1">
        <v>2023</v>
      </c>
      <c r="D110" s="2">
        <v>2024</v>
      </c>
      <c r="E110" s="2">
        <v>2025</v>
      </c>
      <c r="F110" s="43">
        <v>2023</v>
      </c>
      <c r="G110" s="39">
        <v>2024</v>
      </c>
      <c r="H110" s="39">
        <v>2025</v>
      </c>
    </row>
    <row r="111" spans="2:11">
      <c r="B111" s="35">
        <v>1</v>
      </c>
      <c r="C111" s="5">
        <v>0</v>
      </c>
      <c r="D111" s="6">
        <v>0</v>
      </c>
      <c r="E111" s="6"/>
      <c r="F111" s="44">
        <f t="shared" ref="F111:F122" si="7">C5+F5+I5+C20+F20+C35+I20+F35+I35+C50+F50+I50+C66+F66+I66+C81+F81+I81+C96+F96+I96+C111</f>
        <v>259644</v>
      </c>
      <c r="G111" s="40">
        <f t="shared" ref="G111:G122" si="8">D5+G5+J5+D20+G20+D35+J20+G35+J35+D50+G50+J50+D66+G66+J66+D81+G81+J81+D96+G96+J96+D111</f>
        <v>367385</v>
      </c>
      <c r="H111" s="40">
        <f t="shared" ref="H111:H122" si="9">E5+H5+K5+E20+H20+E35+K20+H35+K35+E50+H50+K50+E66+H66+K66+E81+H81+K81+E96+H96+K96+E111</f>
        <v>489030</v>
      </c>
      <c r="I111">
        <v>746408</v>
      </c>
    </row>
    <row r="112" spans="2:11">
      <c r="B112" s="35">
        <v>2</v>
      </c>
      <c r="C112" s="5">
        <v>0</v>
      </c>
      <c r="D112" s="6">
        <v>0</v>
      </c>
      <c r="E112" s="6"/>
      <c r="F112" s="44">
        <f t="shared" si="7"/>
        <v>265628</v>
      </c>
      <c r="G112" s="40">
        <f t="shared" si="8"/>
        <v>315419</v>
      </c>
      <c r="H112" s="40">
        <f t="shared" si="9"/>
        <v>453074</v>
      </c>
      <c r="I112">
        <v>710733</v>
      </c>
    </row>
    <row r="113" spans="2:9">
      <c r="B113" s="35">
        <v>3</v>
      </c>
      <c r="C113" s="5">
        <v>0</v>
      </c>
      <c r="D113" s="6">
        <v>0</v>
      </c>
      <c r="E113" s="6"/>
      <c r="F113" s="44">
        <f t="shared" si="7"/>
        <v>350704</v>
      </c>
      <c r="G113" s="40">
        <f t="shared" si="8"/>
        <v>374518</v>
      </c>
      <c r="H113" s="40">
        <f t="shared" si="9"/>
        <v>608332</v>
      </c>
      <c r="I113">
        <v>918323</v>
      </c>
    </row>
    <row r="114" spans="2:9">
      <c r="B114" s="35">
        <v>4</v>
      </c>
      <c r="C114" s="5">
        <v>0</v>
      </c>
      <c r="D114" s="6">
        <v>0</v>
      </c>
      <c r="E114" s="6"/>
      <c r="F114" s="44">
        <f t="shared" si="7"/>
        <v>331327</v>
      </c>
      <c r="G114" s="40">
        <f t="shared" si="8"/>
        <v>495365</v>
      </c>
      <c r="H114" s="40">
        <f t="shared" si="9"/>
        <v>579642</v>
      </c>
      <c r="I114">
        <v>1015997</v>
      </c>
    </row>
    <row r="115" spans="2:9">
      <c r="B115" s="35">
        <v>5</v>
      </c>
      <c r="C115" s="5">
        <v>0</v>
      </c>
      <c r="D115" s="6">
        <v>0</v>
      </c>
      <c r="E115" s="6"/>
      <c r="F115" s="44">
        <f t="shared" si="7"/>
        <v>344182</v>
      </c>
      <c r="G115" s="40">
        <f t="shared" si="8"/>
        <v>459321</v>
      </c>
      <c r="H115" s="40">
        <f t="shared" si="9"/>
        <v>704077</v>
      </c>
      <c r="I115">
        <v>1026985</v>
      </c>
    </row>
    <row r="116" spans="2:9">
      <c r="B116" s="35">
        <v>6</v>
      </c>
      <c r="C116" s="5">
        <v>0</v>
      </c>
      <c r="D116" s="6">
        <v>0</v>
      </c>
      <c r="E116" s="6"/>
      <c r="F116" s="44">
        <f t="shared" si="7"/>
        <v>369640</v>
      </c>
      <c r="G116" s="40">
        <f t="shared" si="8"/>
        <v>441320</v>
      </c>
      <c r="H116" s="40">
        <f t="shared" si="9"/>
        <v>681782</v>
      </c>
      <c r="I116">
        <v>951683</v>
      </c>
    </row>
    <row r="117" spans="2:9">
      <c r="B117" s="35">
        <v>7</v>
      </c>
      <c r="C117" s="5">
        <v>0</v>
      </c>
      <c r="D117" s="6">
        <v>0</v>
      </c>
      <c r="E117" s="6"/>
      <c r="F117" s="44">
        <f t="shared" si="7"/>
        <v>281137</v>
      </c>
      <c r="G117" s="40">
        <f t="shared" si="8"/>
        <v>487307</v>
      </c>
      <c r="H117" s="40">
        <f t="shared" si="9"/>
        <v>583974</v>
      </c>
      <c r="I117">
        <v>818526</v>
      </c>
    </row>
    <row r="118" spans="2:9">
      <c r="B118" s="35">
        <v>8</v>
      </c>
      <c r="C118" s="5">
        <v>0</v>
      </c>
      <c r="D118" s="6">
        <v>0</v>
      </c>
      <c r="E118" s="6"/>
      <c r="F118" s="44">
        <f t="shared" si="7"/>
        <v>244484</v>
      </c>
      <c r="G118" s="40">
        <f t="shared" si="8"/>
        <v>470659</v>
      </c>
      <c r="H118" s="40">
        <f t="shared" si="9"/>
        <v>533448</v>
      </c>
      <c r="I118">
        <v>751201</v>
      </c>
    </row>
    <row r="119" spans="2:9">
      <c r="B119" s="35">
        <v>9</v>
      </c>
      <c r="C119" s="5">
        <v>0</v>
      </c>
      <c r="D119" s="6">
        <v>0</v>
      </c>
      <c r="E119" s="6"/>
      <c r="F119" s="44">
        <f t="shared" si="7"/>
        <v>245888</v>
      </c>
      <c r="G119" s="40">
        <f t="shared" si="8"/>
        <v>361551</v>
      </c>
      <c r="H119" s="40">
        <f t="shared" si="9"/>
        <v>487929</v>
      </c>
      <c r="I119">
        <v>199647</v>
      </c>
    </row>
    <row r="120" spans="2:9">
      <c r="B120" s="35">
        <v>10</v>
      </c>
      <c r="C120" s="5">
        <v>0</v>
      </c>
      <c r="D120" s="6">
        <v>0</v>
      </c>
      <c r="E120" s="6"/>
      <c r="F120" s="44">
        <f t="shared" si="7"/>
        <v>378650</v>
      </c>
      <c r="G120" s="40">
        <f t="shared" si="8"/>
        <v>544458</v>
      </c>
      <c r="H120" s="40">
        <f t="shared" si="9"/>
        <v>740003</v>
      </c>
    </row>
    <row r="121" spans="2:9">
      <c r="B121" s="35">
        <v>11</v>
      </c>
      <c r="C121" s="5">
        <v>0</v>
      </c>
      <c r="D121" s="6">
        <v>0</v>
      </c>
      <c r="E121" s="6"/>
      <c r="F121" s="44">
        <f t="shared" si="7"/>
        <v>398429</v>
      </c>
      <c r="G121" s="40">
        <f t="shared" si="8"/>
        <v>553901</v>
      </c>
      <c r="H121" s="40">
        <f t="shared" si="9"/>
        <v>818212</v>
      </c>
    </row>
    <row r="122" spans="2:9">
      <c r="B122" s="35">
        <v>12</v>
      </c>
      <c r="C122" s="5">
        <v>0</v>
      </c>
      <c r="D122" s="6">
        <v>0</v>
      </c>
      <c r="E122" s="6"/>
      <c r="F122" s="44">
        <f t="shared" si="7"/>
        <v>312726</v>
      </c>
      <c r="G122" s="40">
        <f t="shared" si="8"/>
        <v>577452</v>
      </c>
      <c r="H122" s="40">
        <f t="shared" si="9"/>
        <v>759979</v>
      </c>
    </row>
    <row r="123" spans="2:9" ht="17.25" thickBot="1">
      <c r="B123" s="38" t="s">
        <v>31</v>
      </c>
      <c r="C123" s="11">
        <f t="shared" ref="C123:E123" si="10">SUM(C111:C122)</f>
        <v>0</v>
      </c>
      <c r="D123" s="12">
        <f t="shared" si="10"/>
        <v>0</v>
      </c>
      <c r="E123" s="12">
        <f t="shared" si="10"/>
        <v>0</v>
      </c>
      <c r="F123" s="45">
        <f t="shared" ref="F123:H123" si="11">SUM(F111:F122)</f>
        <v>3782439</v>
      </c>
      <c r="G123" s="34">
        <f t="shared" si="11"/>
        <v>5448656</v>
      </c>
      <c r="H123" s="34">
        <f t="shared" si="11"/>
        <v>7439482</v>
      </c>
    </row>
  </sheetData>
  <mergeCells count="34">
    <mergeCell ref="B109:B110"/>
    <mergeCell ref="C3:E3"/>
    <mergeCell ref="C109:E109"/>
    <mergeCell ref="B1:K1"/>
    <mergeCell ref="B2:K2"/>
    <mergeCell ref="I3:K3"/>
    <mergeCell ref="F3:H3"/>
    <mergeCell ref="B63:K63"/>
    <mergeCell ref="B48:B49"/>
    <mergeCell ref="C18:E18"/>
    <mergeCell ref="I18:K18"/>
    <mergeCell ref="F18:H18"/>
    <mergeCell ref="B18:B19"/>
    <mergeCell ref="B33:B34"/>
    <mergeCell ref="B3:B4"/>
    <mergeCell ref="B79:B80"/>
    <mergeCell ref="B94:B95"/>
    <mergeCell ref="C79:E79"/>
    <mergeCell ref="F79:H79"/>
    <mergeCell ref="B64:B65"/>
    <mergeCell ref="C64:E64"/>
    <mergeCell ref="F94:H94"/>
    <mergeCell ref="C94:E94"/>
    <mergeCell ref="F109:H109"/>
    <mergeCell ref="I48:K48"/>
    <mergeCell ref="F48:H48"/>
    <mergeCell ref="C48:E48"/>
    <mergeCell ref="C33:E33"/>
    <mergeCell ref="F33:H33"/>
    <mergeCell ref="I33:K33"/>
    <mergeCell ref="I64:K64"/>
    <mergeCell ref="F64:H64"/>
    <mergeCell ref="I79:K79"/>
    <mergeCell ref="I94:K9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E09C-F8CB-4D3F-A4FC-E0D8D909D6E0}">
  <sheetPr>
    <tabColor theme="5" tint="0.79998168889431442"/>
  </sheetPr>
  <dimension ref="B1:K123"/>
  <sheetViews>
    <sheetView workbookViewId="0">
      <selection activeCell="F7" sqref="F7"/>
    </sheetView>
  </sheetViews>
  <sheetFormatPr defaultRowHeight="16.5"/>
  <cols>
    <col min="1" max="1" width="13.125" customWidth="1"/>
    <col min="2" max="2" width="12.625" style="13" customWidth="1"/>
    <col min="3" max="11" width="13.875" customWidth="1"/>
  </cols>
  <sheetData>
    <row r="1" spans="2:11" ht="21" thickBot="1">
      <c r="B1" s="72" t="s">
        <v>57</v>
      </c>
      <c r="C1" s="73"/>
      <c r="D1" s="73"/>
      <c r="E1" s="73"/>
      <c r="F1" s="73"/>
      <c r="G1" s="73"/>
      <c r="H1" s="73"/>
      <c r="I1" s="73"/>
      <c r="J1" s="73"/>
      <c r="K1" s="73"/>
    </row>
    <row r="2" spans="2:11" ht="18.75" customHeight="1" thickBot="1"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ht="18.75" customHeight="1">
      <c r="B3" s="78" t="s">
        <v>30</v>
      </c>
      <c r="C3" s="69" t="s">
        <v>2</v>
      </c>
      <c r="D3" s="68"/>
      <c r="E3" s="68"/>
      <c r="F3" s="69" t="s">
        <v>4</v>
      </c>
      <c r="G3" s="68"/>
      <c r="H3" s="68"/>
      <c r="I3" s="67" t="s">
        <v>11</v>
      </c>
      <c r="J3" s="68"/>
      <c r="K3" s="68"/>
    </row>
    <row r="4" spans="2:11" ht="18.75" customHeight="1">
      <c r="B4" s="70"/>
      <c r="C4" s="1">
        <v>2023</v>
      </c>
      <c r="D4" s="2">
        <v>2024</v>
      </c>
      <c r="E4" s="2">
        <v>2025</v>
      </c>
      <c r="F4" s="1">
        <v>2023</v>
      </c>
      <c r="G4" s="2">
        <v>2024</v>
      </c>
      <c r="H4" s="2">
        <v>2025</v>
      </c>
      <c r="I4" s="23">
        <v>2023</v>
      </c>
      <c r="J4" s="2">
        <v>2024</v>
      </c>
      <c r="K4" s="2">
        <v>2025</v>
      </c>
    </row>
    <row r="5" spans="2:11" ht="18.75" customHeight="1">
      <c r="B5" s="35">
        <v>1</v>
      </c>
      <c r="C5" s="5">
        <v>79906</v>
      </c>
      <c r="D5" s="6">
        <v>164330</v>
      </c>
      <c r="E5" s="6">
        <v>137695</v>
      </c>
      <c r="F5" s="5">
        <v>90309</v>
      </c>
      <c r="G5" s="6">
        <v>140373</v>
      </c>
      <c r="H5" s="6">
        <v>129368</v>
      </c>
      <c r="I5" s="24">
        <v>33278</v>
      </c>
      <c r="J5" s="6">
        <v>62885</v>
      </c>
      <c r="K5" s="6">
        <v>88607</v>
      </c>
    </row>
    <row r="6" spans="2:11" ht="18.75" customHeight="1">
      <c r="B6" s="35">
        <v>2</v>
      </c>
      <c r="C6" s="5">
        <v>136386</v>
      </c>
      <c r="D6" s="6">
        <v>132979</v>
      </c>
      <c r="E6" s="6">
        <v>181548</v>
      </c>
      <c r="F6" s="5">
        <v>131280</v>
      </c>
      <c r="G6" s="6">
        <v>115932</v>
      </c>
      <c r="H6" s="6">
        <v>117893</v>
      </c>
      <c r="I6" s="24">
        <v>48502</v>
      </c>
      <c r="J6" s="6">
        <v>59111</v>
      </c>
      <c r="K6" s="6">
        <v>96106</v>
      </c>
    </row>
    <row r="7" spans="2:11" ht="18.75" customHeight="1">
      <c r="B7" s="35">
        <v>3</v>
      </c>
      <c r="C7" s="5">
        <v>138022</v>
      </c>
      <c r="D7" s="6">
        <v>126518</v>
      </c>
      <c r="E7" s="6">
        <v>111977</v>
      </c>
      <c r="F7" s="5">
        <v>160130</v>
      </c>
      <c r="G7" s="6">
        <v>131430</v>
      </c>
      <c r="H7" s="6">
        <v>146121</v>
      </c>
      <c r="I7" s="24">
        <v>54828</v>
      </c>
      <c r="J7" s="6">
        <v>72093</v>
      </c>
      <c r="K7" s="6">
        <v>97966</v>
      </c>
    </row>
    <row r="8" spans="2:11" ht="18.75" customHeight="1">
      <c r="B8" s="35">
        <v>4</v>
      </c>
      <c r="C8" s="5">
        <v>123173</v>
      </c>
      <c r="D8" s="6">
        <v>161533</v>
      </c>
      <c r="E8" s="6">
        <v>215860</v>
      </c>
      <c r="F8" s="5">
        <v>141882</v>
      </c>
      <c r="G8" s="6">
        <v>147478</v>
      </c>
      <c r="H8" s="6">
        <v>128250</v>
      </c>
      <c r="I8" s="24">
        <v>55437</v>
      </c>
      <c r="J8" s="6">
        <v>92793</v>
      </c>
      <c r="K8" s="6">
        <v>100054</v>
      </c>
    </row>
    <row r="9" spans="2:11" ht="18.75" customHeight="1">
      <c r="B9" s="35">
        <v>5</v>
      </c>
      <c r="C9" s="5">
        <v>132073</v>
      </c>
      <c r="D9" s="6">
        <v>148164</v>
      </c>
      <c r="E9" s="6">
        <v>168137</v>
      </c>
      <c r="F9" s="5">
        <v>158943</v>
      </c>
      <c r="G9" s="6">
        <v>178566</v>
      </c>
      <c r="H9" s="6">
        <v>144416</v>
      </c>
      <c r="I9" s="24">
        <v>57126</v>
      </c>
      <c r="J9" s="6">
        <v>88504</v>
      </c>
      <c r="K9" s="6">
        <v>93194</v>
      </c>
    </row>
    <row r="10" spans="2:11" ht="18.75" customHeight="1">
      <c r="B10" s="35">
        <v>6</v>
      </c>
      <c r="C10" s="5">
        <v>126071</v>
      </c>
      <c r="D10" s="6">
        <v>133141</v>
      </c>
      <c r="E10" s="6">
        <v>186142</v>
      </c>
      <c r="F10" s="5">
        <v>139278</v>
      </c>
      <c r="G10" s="6">
        <v>143207</v>
      </c>
      <c r="H10" s="6">
        <v>140229</v>
      </c>
      <c r="I10" s="24">
        <v>50306</v>
      </c>
      <c r="J10" s="6">
        <v>73071</v>
      </c>
      <c r="K10" s="6">
        <v>99887</v>
      </c>
    </row>
    <row r="11" spans="2:11" ht="18.75" customHeight="1">
      <c r="B11" s="35">
        <v>7</v>
      </c>
      <c r="C11" s="5">
        <v>103596</v>
      </c>
      <c r="D11" s="6">
        <v>105391</v>
      </c>
      <c r="E11" s="6">
        <v>170942</v>
      </c>
      <c r="F11" s="5">
        <v>107548</v>
      </c>
      <c r="G11" s="6">
        <v>120829</v>
      </c>
      <c r="H11" s="6">
        <v>151610</v>
      </c>
      <c r="I11" s="24">
        <v>44115</v>
      </c>
      <c r="J11" s="6">
        <v>67695</v>
      </c>
      <c r="K11" s="6">
        <v>114105</v>
      </c>
    </row>
    <row r="12" spans="2:11" ht="18.75" customHeight="1">
      <c r="B12" s="35">
        <v>8</v>
      </c>
      <c r="C12" s="5">
        <v>114034</v>
      </c>
      <c r="D12" s="6">
        <v>114772</v>
      </c>
      <c r="E12" s="6">
        <v>141306</v>
      </c>
      <c r="F12" s="5">
        <v>116216</v>
      </c>
      <c r="G12" s="6">
        <v>104128</v>
      </c>
      <c r="H12" s="6">
        <v>121578</v>
      </c>
      <c r="I12" s="24">
        <v>44423</v>
      </c>
      <c r="J12" s="6">
        <v>69528</v>
      </c>
      <c r="K12" s="6">
        <v>91231</v>
      </c>
    </row>
    <row r="13" spans="2:11" ht="18.75" customHeight="1">
      <c r="B13" s="35">
        <v>9</v>
      </c>
      <c r="C13" s="5">
        <v>88700</v>
      </c>
      <c r="D13" s="6">
        <v>124844</v>
      </c>
      <c r="E13" s="6">
        <v>142900</v>
      </c>
      <c r="F13" s="5">
        <v>93965</v>
      </c>
      <c r="G13" s="6">
        <v>113720</v>
      </c>
      <c r="H13" s="6">
        <v>116761</v>
      </c>
      <c r="I13" s="24">
        <v>39290</v>
      </c>
      <c r="J13" s="6">
        <v>63857</v>
      </c>
      <c r="K13" s="6">
        <v>90960</v>
      </c>
    </row>
    <row r="14" spans="2:11" ht="18.75" customHeight="1">
      <c r="B14" s="35">
        <v>10</v>
      </c>
      <c r="C14" s="5">
        <v>157080</v>
      </c>
      <c r="D14" s="6">
        <v>194879</v>
      </c>
      <c r="E14" s="6">
        <v>164091</v>
      </c>
      <c r="F14" s="5">
        <v>165015</v>
      </c>
      <c r="G14" s="6">
        <v>154740</v>
      </c>
      <c r="H14" s="6">
        <v>121994</v>
      </c>
      <c r="I14" s="24">
        <v>64682</v>
      </c>
      <c r="J14" s="6">
        <v>109722</v>
      </c>
      <c r="K14" s="6">
        <v>103850</v>
      </c>
    </row>
    <row r="15" spans="2:11" ht="18.75" customHeight="1">
      <c r="B15" s="35">
        <v>11</v>
      </c>
      <c r="C15" s="5">
        <v>164379</v>
      </c>
      <c r="D15" s="6">
        <v>151245</v>
      </c>
      <c r="E15" s="6">
        <v>198419</v>
      </c>
      <c r="F15" s="5">
        <v>138261</v>
      </c>
      <c r="G15" s="6">
        <v>165437</v>
      </c>
      <c r="H15" s="6">
        <v>172606</v>
      </c>
      <c r="I15" s="24">
        <v>73571</v>
      </c>
      <c r="J15" s="6">
        <v>97941</v>
      </c>
      <c r="K15" s="6">
        <v>116060</v>
      </c>
    </row>
    <row r="16" spans="2:11" ht="18.75" customHeight="1">
      <c r="B16" s="35">
        <v>12</v>
      </c>
      <c r="C16" s="5">
        <v>106388</v>
      </c>
      <c r="D16" s="6">
        <v>163930</v>
      </c>
      <c r="E16" s="6">
        <v>204094</v>
      </c>
      <c r="F16" s="5">
        <v>107974</v>
      </c>
      <c r="G16" s="6">
        <v>151885</v>
      </c>
      <c r="H16" s="6">
        <v>214875</v>
      </c>
      <c r="I16" s="24">
        <v>47713</v>
      </c>
      <c r="J16" s="6">
        <v>96492</v>
      </c>
      <c r="K16" s="6">
        <v>109421</v>
      </c>
    </row>
    <row r="17" spans="2:11" s="14" customFormat="1" ht="18.75" customHeight="1" thickBot="1">
      <c r="B17" s="35" t="s">
        <v>31</v>
      </c>
      <c r="C17" s="12">
        <f t="shared" ref="C17:K17" si="0">SUM(C5:C16)</f>
        <v>1469808</v>
      </c>
      <c r="D17" s="12">
        <f t="shared" si="0"/>
        <v>1721726</v>
      </c>
      <c r="E17" s="36">
        <f t="shared" si="0"/>
        <v>2023111</v>
      </c>
      <c r="F17" s="11">
        <f t="shared" si="0"/>
        <v>1550801</v>
      </c>
      <c r="G17" s="12">
        <f t="shared" si="0"/>
        <v>1667725</v>
      </c>
      <c r="H17" s="12">
        <f t="shared" si="0"/>
        <v>1705701</v>
      </c>
      <c r="I17" s="37">
        <f t="shared" si="0"/>
        <v>613271</v>
      </c>
      <c r="J17" s="12">
        <f t="shared" si="0"/>
        <v>953692</v>
      </c>
      <c r="K17" s="12">
        <f t="shared" si="0"/>
        <v>1201441</v>
      </c>
    </row>
    <row r="18" spans="2:11">
      <c r="B18" s="70" t="s">
        <v>30</v>
      </c>
      <c r="C18" s="69" t="s">
        <v>3</v>
      </c>
      <c r="D18" s="68"/>
      <c r="E18" s="68"/>
      <c r="F18" s="69" t="s">
        <v>13</v>
      </c>
      <c r="G18" s="68"/>
      <c r="H18" s="68"/>
      <c r="I18" s="67" t="s">
        <v>14</v>
      </c>
      <c r="J18" s="68"/>
      <c r="K18" s="68"/>
    </row>
    <row r="19" spans="2:11">
      <c r="B19" s="70"/>
      <c r="C19" s="1">
        <v>2023</v>
      </c>
      <c r="D19" s="2">
        <v>2024</v>
      </c>
      <c r="E19" s="2">
        <v>2025</v>
      </c>
      <c r="F19" s="1">
        <v>2023</v>
      </c>
      <c r="G19" s="2">
        <v>2024</v>
      </c>
      <c r="H19" s="2">
        <v>2025</v>
      </c>
      <c r="I19" s="23">
        <v>2023</v>
      </c>
      <c r="J19" s="2">
        <v>2024</v>
      </c>
      <c r="K19" s="2">
        <v>2025</v>
      </c>
    </row>
    <row r="20" spans="2:11">
      <c r="B20" s="35">
        <v>1</v>
      </c>
      <c r="C20" s="5">
        <v>119095</v>
      </c>
      <c r="D20" s="6">
        <v>144634</v>
      </c>
      <c r="E20" s="6">
        <v>165788</v>
      </c>
      <c r="F20" s="5">
        <v>36223</v>
      </c>
      <c r="G20" s="6">
        <v>30353</v>
      </c>
      <c r="H20" s="6">
        <v>47895</v>
      </c>
      <c r="I20" s="24">
        <v>29131</v>
      </c>
      <c r="J20" s="6">
        <v>59479</v>
      </c>
      <c r="K20" s="6">
        <v>58380</v>
      </c>
    </row>
    <row r="21" spans="2:11">
      <c r="B21" s="35">
        <v>2</v>
      </c>
      <c r="C21" s="5">
        <v>161592</v>
      </c>
      <c r="D21" s="6">
        <v>154540</v>
      </c>
      <c r="E21" s="6">
        <v>196483</v>
      </c>
      <c r="F21" s="5">
        <v>49944</v>
      </c>
      <c r="G21" s="6">
        <v>33618</v>
      </c>
      <c r="H21" s="6">
        <v>54010</v>
      </c>
      <c r="I21" s="24">
        <v>32902</v>
      </c>
      <c r="J21" s="6">
        <v>46538</v>
      </c>
      <c r="K21" s="6">
        <v>58289</v>
      </c>
    </row>
    <row r="22" spans="2:11">
      <c r="B22" s="35">
        <v>3</v>
      </c>
      <c r="C22" s="5">
        <v>143564</v>
      </c>
      <c r="D22" s="6">
        <v>186317</v>
      </c>
      <c r="E22" s="6">
        <v>185715</v>
      </c>
      <c r="F22" s="5">
        <v>39170</v>
      </c>
      <c r="G22" s="6">
        <v>28307</v>
      </c>
      <c r="H22" s="6">
        <v>60132</v>
      </c>
      <c r="I22" s="24">
        <v>44508</v>
      </c>
      <c r="J22" s="6">
        <v>47207</v>
      </c>
      <c r="K22" s="6">
        <v>56132</v>
      </c>
    </row>
    <row r="23" spans="2:11">
      <c r="B23" s="35">
        <v>4</v>
      </c>
      <c r="C23" s="5">
        <v>161146</v>
      </c>
      <c r="D23" s="6">
        <v>206033</v>
      </c>
      <c r="E23" s="6">
        <v>194702</v>
      </c>
      <c r="F23" s="5">
        <v>69803</v>
      </c>
      <c r="G23" s="6">
        <v>70435</v>
      </c>
      <c r="H23" s="6">
        <v>61491</v>
      </c>
      <c r="I23" s="24">
        <v>38551</v>
      </c>
      <c r="J23" s="6">
        <v>51273</v>
      </c>
      <c r="K23" s="6">
        <v>57972</v>
      </c>
    </row>
    <row r="24" spans="2:11">
      <c r="B24" s="35">
        <v>5</v>
      </c>
      <c r="C24" s="5">
        <v>145262</v>
      </c>
      <c r="D24" s="6">
        <v>263856</v>
      </c>
      <c r="E24" s="6">
        <v>215779</v>
      </c>
      <c r="F24" s="5">
        <v>38740</v>
      </c>
      <c r="G24" s="6">
        <v>51096</v>
      </c>
      <c r="H24" s="6">
        <v>64676</v>
      </c>
      <c r="I24" s="24">
        <v>44806</v>
      </c>
      <c r="J24" s="6">
        <v>59428</v>
      </c>
      <c r="K24" s="6">
        <v>56908</v>
      </c>
    </row>
    <row r="25" spans="2:11">
      <c r="B25" s="35">
        <v>6</v>
      </c>
      <c r="C25" s="5">
        <v>183887</v>
      </c>
      <c r="D25" s="6">
        <v>182194</v>
      </c>
      <c r="E25" s="6">
        <v>206136</v>
      </c>
      <c r="F25" s="5">
        <v>50845</v>
      </c>
      <c r="G25" s="6">
        <v>19828</v>
      </c>
      <c r="H25" s="6">
        <v>58292</v>
      </c>
      <c r="I25" s="24">
        <v>51971</v>
      </c>
      <c r="J25" s="6">
        <v>36253</v>
      </c>
      <c r="K25" s="6">
        <v>55139</v>
      </c>
    </row>
    <row r="26" spans="2:11">
      <c r="B26" s="35">
        <v>7</v>
      </c>
      <c r="C26" s="5">
        <v>124193</v>
      </c>
      <c r="D26" s="6">
        <v>140477</v>
      </c>
      <c r="E26" s="6">
        <v>211128</v>
      </c>
      <c r="F26" s="5">
        <v>24799</v>
      </c>
      <c r="G26" s="6">
        <v>61905</v>
      </c>
      <c r="H26" s="6">
        <v>60938</v>
      </c>
      <c r="I26" s="24">
        <v>37748</v>
      </c>
      <c r="J26" s="6">
        <v>39986</v>
      </c>
      <c r="K26" s="6">
        <v>61666</v>
      </c>
    </row>
    <row r="27" spans="2:11">
      <c r="B27" s="35">
        <v>8</v>
      </c>
      <c r="C27" s="5">
        <v>129298</v>
      </c>
      <c r="D27" s="6">
        <v>138289</v>
      </c>
      <c r="E27" s="6">
        <v>141707</v>
      </c>
      <c r="F27" s="5">
        <v>26662</v>
      </c>
      <c r="G27" s="6">
        <v>32727</v>
      </c>
      <c r="H27" s="6">
        <v>51937</v>
      </c>
      <c r="I27" s="24">
        <v>41628</v>
      </c>
      <c r="J27" s="6">
        <v>39196</v>
      </c>
      <c r="K27" s="6">
        <v>43389</v>
      </c>
    </row>
    <row r="28" spans="2:11">
      <c r="B28" s="35">
        <v>9</v>
      </c>
      <c r="C28" s="5">
        <v>105849</v>
      </c>
      <c r="D28" s="6">
        <v>128810</v>
      </c>
      <c r="E28" s="6">
        <v>138535</v>
      </c>
      <c r="F28" s="5">
        <v>23742</v>
      </c>
      <c r="G28" s="6">
        <v>28179</v>
      </c>
      <c r="H28" s="6">
        <v>43788</v>
      </c>
      <c r="I28" s="24">
        <v>22183</v>
      </c>
      <c r="J28" s="6">
        <v>40696</v>
      </c>
      <c r="K28" s="6">
        <v>43507</v>
      </c>
    </row>
    <row r="29" spans="2:11">
      <c r="B29" s="35">
        <v>10</v>
      </c>
      <c r="C29" s="5">
        <v>156879</v>
      </c>
      <c r="D29" s="6">
        <v>155116</v>
      </c>
      <c r="E29" s="6">
        <v>180785</v>
      </c>
      <c r="F29" s="5">
        <v>46235</v>
      </c>
      <c r="G29" s="6">
        <v>63066</v>
      </c>
      <c r="H29" s="6">
        <v>40005</v>
      </c>
      <c r="I29" s="24">
        <v>41375</v>
      </c>
      <c r="J29" s="6">
        <v>63143</v>
      </c>
      <c r="K29" s="6">
        <v>52101</v>
      </c>
    </row>
    <row r="30" spans="2:11">
      <c r="B30" s="35">
        <v>11</v>
      </c>
      <c r="C30" s="5">
        <v>153907</v>
      </c>
      <c r="D30" s="6">
        <v>264909</v>
      </c>
      <c r="E30" s="6">
        <v>212403</v>
      </c>
      <c r="F30" s="5">
        <v>31624</v>
      </c>
      <c r="G30" s="6">
        <v>64475</v>
      </c>
      <c r="H30" s="6">
        <v>70453</v>
      </c>
      <c r="I30" s="24">
        <v>45699</v>
      </c>
      <c r="J30" s="6">
        <v>57987</v>
      </c>
      <c r="K30" s="6">
        <v>60245</v>
      </c>
    </row>
    <row r="31" spans="2:11">
      <c r="B31" s="35">
        <v>12</v>
      </c>
      <c r="C31" s="5">
        <v>175162</v>
      </c>
      <c r="D31" s="6">
        <v>233733</v>
      </c>
      <c r="E31" s="6">
        <v>243727</v>
      </c>
      <c r="F31" s="5">
        <v>57027</v>
      </c>
      <c r="G31" s="6">
        <v>60808</v>
      </c>
      <c r="H31" s="6">
        <v>68479</v>
      </c>
      <c r="I31" s="24">
        <v>39315</v>
      </c>
      <c r="J31" s="6">
        <v>51830</v>
      </c>
      <c r="K31" s="6">
        <v>60114</v>
      </c>
    </row>
    <row r="32" spans="2:11" s="14" customFormat="1" ht="17.25" thickBot="1">
      <c r="B32" s="35" t="s">
        <v>31</v>
      </c>
      <c r="C32" s="11">
        <f t="shared" ref="C32:K32" si="1">SUM(C20:C31)</f>
        <v>1759834</v>
      </c>
      <c r="D32" s="12">
        <f t="shared" si="1"/>
        <v>2198908</v>
      </c>
      <c r="E32" s="36">
        <f t="shared" si="1"/>
        <v>2292888</v>
      </c>
      <c r="F32" s="11">
        <f t="shared" si="1"/>
        <v>494814</v>
      </c>
      <c r="G32" s="12">
        <f t="shared" si="1"/>
        <v>544797</v>
      </c>
      <c r="H32" s="12">
        <f t="shared" si="1"/>
        <v>682096</v>
      </c>
      <c r="I32" s="37">
        <f t="shared" si="1"/>
        <v>469817</v>
      </c>
      <c r="J32" s="12">
        <f t="shared" si="1"/>
        <v>593016</v>
      </c>
      <c r="K32" s="12">
        <f t="shared" si="1"/>
        <v>663842</v>
      </c>
    </row>
    <row r="33" spans="2:11">
      <c r="B33" s="70" t="s">
        <v>30</v>
      </c>
      <c r="C33" s="69" t="s">
        <v>12</v>
      </c>
      <c r="D33" s="68"/>
      <c r="E33" s="68"/>
      <c r="F33" s="69" t="s">
        <v>15</v>
      </c>
      <c r="G33" s="68"/>
      <c r="H33" s="68"/>
      <c r="I33" s="67" t="s">
        <v>37</v>
      </c>
      <c r="J33" s="68"/>
      <c r="K33" s="68"/>
    </row>
    <row r="34" spans="2:11">
      <c r="B34" s="70"/>
      <c r="C34" s="1">
        <v>2023</v>
      </c>
      <c r="D34" s="2">
        <v>2024</v>
      </c>
      <c r="E34" s="2">
        <v>2025</v>
      </c>
      <c r="F34" s="1">
        <v>2023</v>
      </c>
      <c r="G34" s="2">
        <v>2024</v>
      </c>
      <c r="H34" s="2">
        <v>2025</v>
      </c>
      <c r="I34" s="23">
        <v>2023</v>
      </c>
      <c r="J34" s="2">
        <v>2024</v>
      </c>
      <c r="K34" s="2">
        <v>2025</v>
      </c>
    </row>
    <row r="35" spans="2:11">
      <c r="B35" s="35">
        <v>1</v>
      </c>
      <c r="C35" s="5">
        <v>116</v>
      </c>
      <c r="D35" s="6">
        <v>31899</v>
      </c>
      <c r="E35" s="6">
        <v>74208</v>
      </c>
      <c r="F35" s="5">
        <v>0</v>
      </c>
      <c r="G35" s="6">
        <v>24629</v>
      </c>
      <c r="H35" s="6">
        <v>57891</v>
      </c>
      <c r="I35" s="24">
        <v>0</v>
      </c>
      <c r="J35" s="6">
        <v>13138</v>
      </c>
      <c r="K35" s="6">
        <v>59508</v>
      </c>
    </row>
    <row r="36" spans="2:11">
      <c r="B36" s="35">
        <v>2</v>
      </c>
      <c r="C36" s="5">
        <v>0</v>
      </c>
      <c r="D36" s="6">
        <v>26306</v>
      </c>
      <c r="E36" s="6">
        <v>62051</v>
      </c>
      <c r="F36" s="5">
        <v>0</v>
      </c>
      <c r="G36" s="6">
        <v>30526</v>
      </c>
      <c r="H36" s="6">
        <v>60187</v>
      </c>
      <c r="I36" s="24">
        <v>0</v>
      </c>
      <c r="J36" s="6">
        <v>18995</v>
      </c>
      <c r="K36" s="6">
        <v>63557</v>
      </c>
    </row>
    <row r="37" spans="2:11">
      <c r="B37" s="35">
        <v>3</v>
      </c>
      <c r="C37" s="5">
        <v>0</v>
      </c>
      <c r="D37" s="6">
        <v>44011</v>
      </c>
      <c r="E37" s="6">
        <v>98647</v>
      </c>
      <c r="F37" s="5">
        <v>0</v>
      </c>
      <c r="G37" s="6">
        <v>33261</v>
      </c>
      <c r="H37" s="6">
        <v>62868</v>
      </c>
      <c r="I37" s="24">
        <v>0</v>
      </c>
      <c r="J37" s="6">
        <v>22924</v>
      </c>
      <c r="K37" s="6">
        <v>101114</v>
      </c>
    </row>
    <row r="38" spans="2:11">
      <c r="B38" s="35">
        <v>4</v>
      </c>
      <c r="C38" s="5">
        <v>16234</v>
      </c>
      <c r="D38" s="6">
        <v>48786</v>
      </c>
      <c r="E38" s="6">
        <v>72514</v>
      </c>
      <c r="F38" s="5">
        <v>6842</v>
      </c>
      <c r="G38" s="6">
        <v>47178</v>
      </c>
      <c r="H38" s="6">
        <v>54814</v>
      </c>
      <c r="I38" s="24">
        <v>0</v>
      </c>
      <c r="J38" s="6">
        <v>23280</v>
      </c>
      <c r="K38" s="6">
        <v>106715</v>
      </c>
    </row>
    <row r="39" spans="2:11">
      <c r="B39" s="35">
        <v>5</v>
      </c>
      <c r="C39" s="5">
        <v>26327</v>
      </c>
      <c r="D39" s="6">
        <v>64818</v>
      </c>
      <c r="E39" s="6">
        <v>73359</v>
      </c>
      <c r="F39" s="5">
        <v>18312</v>
      </c>
      <c r="G39" s="6">
        <v>52588</v>
      </c>
      <c r="H39" s="6">
        <v>65104</v>
      </c>
      <c r="I39" s="24">
        <v>0</v>
      </c>
      <c r="J39" s="6">
        <v>36802</v>
      </c>
      <c r="K39" s="6">
        <v>101600</v>
      </c>
    </row>
    <row r="40" spans="2:11">
      <c r="B40" s="35">
        <v>6</v>
      </c>
      <c r="C40" s="5">
        <v>21995</v>
      </c>
      <c r="D40" s="6">
        <v>52142</v>
      </c>
      <c r="E40" s="6">
        <v>71586</v>
      </c>
      <c r="F40" s="5">
        <v>14183</v>
      </c>
      <c r="G40" s="6">
        <v>56528</v>
      </c>
      <c r="H40" s="6">
        <v>65987</v>
      </c>
      <c r="I40" s="24">
        <v>0</v>
      </c>
      <c r="J40" s="6">
        <v>27621</v>
      </c>
      <c r="K40" s="6">
        <v>80929</v>
      </c>
    </row>
    <row r="41" spans="2:11">
      <c r="B41" s="35">
        <v>7</v>
      </c>
      <c r="C41" s="5">
        <v>14048</v>
      </c>
      <c r="D41" s="6">
        <v>45433</v>
      </c>
      <c r="E41" s="6">
        <v>83885</v>
      </c>
      <c r="F41" s="5">
        <v>22518</v>
      </c>
      <c r="G41" s="6">
        <v>41031</v>
      </c>
      <c r="H41" s="6">
        <v>62852</v>
      </c>
      <c r="I41" s="24">
        <v>9699</v>
      </c>
      <c r="J41" s="6">
        <v>41233</v>
      </c>
      <c r="K41" s="6">
        <v>122090</v>
      </c>
    </row>
    <row r="42" spans="2:11">
      <c r="B42" s="35">
        <v>8</v>
      </c>
      <c r="C42" s="5">
        <v>24462</v>
      </c>
      <c r="D42" s="6">
        <v>52816</v>
      </c>
      <c r="E42" s="6">
        <v>71969</v>
      </c>
      <c r="F42" s="5">
        <v>17721</v>
      </c>
      <c r="G42" s="6">
        <v>43828</v>
      </c>
      <c r="H42" s="6">
        <v>60831</v>
      </c>
      <c r="I42" s="24">
        <v>10988</v>
      </c>
      <c r="J42" s="6">
        <v>55004</v>
      </c>
      <c r="K42" s="6">
        <v>89991</v>
      </c>
    </row>
    <row r="43" spans="2:11">
      <c r="B43" s="35">
        <v>9</v>
      </c>
      <c r="C43" s="5">
        <v>17887</v>
      </c>
      <c r="D43" s="6">
        <v>36521</v>
      </c>
      <c r="E43" s="6">
        <v>68489</v>
      </c>
      <c r="F43" s="5">
        <v>13157</v>
      </c>
      <c r="G43" s="6">
        <v>48704</v>
      </c>
      <c r="H43" s="6">
        <v>62348</v>
      </c>
      <c r="I43" s="24">
        <v>10341</v>
      </c>
      <c r="J43" s="6">
        <v>31107</v>
      </c>
      <c r="K43" s="6">
        <v>109264</v>
      </c>
    </row>
    <row r="44" spans="2:11">
      <c r="B44" s="35">
        <v>10</v>
      </c>
      <c r="C44" s="5">
        <v>31184</v>
      </c>
      <c r="D44" s="6">
        <v>83573</v>
      </c>
      <c r="E44" s="6">
        <v>76843</v>
      </c>
      <c r="F44" s="5">
        <v>24489</v>
      </c>
      <c r="G44" s="6">
        <v>34113</v>
      </c>
      <c r="H44" s="6">
        <v>56454</v>
      </c>
      <c r="I44" s="24">
        <v>12142</v>
      </c>
      <c r="J44" s="6">
        <v>74326</v>
      </c>
      <c r="K44" s="6">
        <v>90399</v>
      </c>
    </row>
    <row r="45" spans="2:11">
      <c r="B45" s="35">
        <v>11</v>
      </c>
      <c r="C45" s="5">
        <v>27722</v>
      </c>
      <c r="D45" s="6">
        <v>68110</v>
      </c>
      <c r="E45" s="6">
        <v>101702</v>
      </c>
      <c r="F45" s="5">
        <v>22685</v>
      </c>
      <c r="G45" s="6">
        <v>84429</v>
      </c>
      <c r="H45" s="6">
        <v>91560</v>
      </c>
      <c r="I45" s="24">
        <v>14032</v>
      </c>
      <c r="J45" s="6">
        <v>84802</v>
      </c>
      <c r="K45" s="6">
        <v>131000</v>
      </c>
    </row>
    <row r="46" spans="2:11">
      <c r="B46" s="35">
        <v>12</v>
      </c>
      <c r="C46" s="5">
        <v>34039</v>
      </c>
      <c r="D46" s="6">
        <v>82362</v>
      </c>
      <c r="E46" s="6">
        <v>97050</v>
      </c>
      <c r="F46" s="5">
        <v>21056</v>
      </c>
      <c r="G46" s="6">
        <v>56593</v>
      </c>
      <c r="H46" s="6">
        <v>74129</v>
      </c>
      <c r="I46" s="24">
        <v>12548</v>
      </c>
      <c r="J46" s="6">
        <v>110825</v>
      </c>
      <c r="K46" s="6">
        <v>119892</v>
      </c>
    </row>
    <row r="47" spans="2:11" s="14" customFormat="1" ht="17.25" thickBot="1">
      <c r="B47" s="35" t="s">
        <v>31</v>
      </c>
      <c r="C47" s="11">
        <f t="shared" ref="C47:K47" si="2">SUM(C35:C46)</f>
        <v>214014</v>
      </c>
      <c r="D47" s="12">
        <f t="shared" si="2"/>
        <v>636777</v>
      </c>
      <c r="E47" s="12">
        <f t="shared" si="2"/>
        <v>952303</v>
      </c>
      <c r="F47" s="11">
        <f>SUM(F35:F46)</f>
        <v>160963</v>
      </c>
      <c r="G47" s="12">
        <f t="shared" si="2"/>
        <v>553408</v>
      </c>
      <c r="H47" s="12">
        <f t="shared" si="2"/>
        <v>775025</v>
      </c>
      <c r="I47" s="37">
        <f t="shared" si="2"/>
        <v>69750</v>
      </c>
      <c r="J47" s="12">
        <f t="shared" si="2"/>
        <v>540057</v>
      </c>
      <c r="K47" s="12">
        <f t="shared" si="2"/>
        <v>1176059</v>
      </c>
    </row>
    <row r="48" spans="2:11">
      <c r="B48" s="70" t="s">
        <v>30</v>
      </c>
      <c r="C48" s="69" t="s">
        <v>16</v>
      </c>
      <c r="D48" s="68"/>
      <c r="E48" s="68"/>
      <c r="F48" s="69" t="s">
        <v>17</v>
      </c>
      <c r="G48" s="68"/>
      <c r="H48" s="68"/>
      <c r="I48" s="67" t="s">
        <v>18</v>
      </c>
      <c r="J48" s="68"/>
      <c r="K48" s="68"/>
    </row>
    <row r="49" spans="2:11">
      <c r="B49" s="70"/>
      <c r="C49" s="1">
        <v>2023</v>
      </c>
      <c r="D49" s="2">
        <v>2024</v>
      </c>
      <c r="E49" s="2">
        <v>2025</v>
      </c>
      <c r="F49" s="1">
        <v>2023</v>
      </c>
      <c r="G49" s="2">
        <v>2024</v>
      </c>
      <c r="H49" s="2">
        <v>2025</v>
      </c>
      <c r="I49" s="23">
        <v>2023</v>
      </c>
      <c r="J49" s="2">
        <v>2024</v>
      </c>
      <c r="K49" s="2">
        <v>2025</v>
      </c>
    </row>
    <row r="50" spans="2:11">
      <c r="B50" s="35">
        <v>1</v>
      </c>
      <c r="C50" s="5">
        <v>0</v>
      </c>
      <c r="D50" s="6">
        <v>0</v>
      </c>
      <c r="E50" s="6">
        <v>32559</v>
      </c>
      <c r="F50" s="5">
        <v>0</v>
      </c>
      <c r="G50" s="6">
        <v>0</v>
      </c>
      <c r="H50" s="6">
        <v>28399</v>
      </c>
      <c r="I50" s="24">
        <v>0</v>
      </c>
      <c r="J50" s="6">
        <v>0</v>
      </c>
      <c r="K50" s="6">
        <v>0</v>
      </c>
    </row>
    <row r="51" spans="2:11">
      <c r="B51" s="35">
        <v>2</v>
      </c>
      <c r="C51" s="5">
        <v>0</v>
      </c>
      <c r="D51" s="6">
        <v>3869</v>
      </c>
      <c r="E51" s="6">
        <v>41664</v>
      </c>
      <c r="F51" s="5">
        <v>0</v>
      </c>
      <c r="G51" s="6">
        <v>0</v>
      </c>
      <c r="H51" s="6">
        <v>29242</v>
      </c>
      <c r="I51" s="24">
        <v>0</v>
      </c>
      <c r="J51" s="6">
        <v>0</v>
      </c>
      <c r="K51" s="6">
        <v>0</v>
      </c>
    </row>
    <row r="52" spans="2:11">
      <c r="B52" s="35">
        <v>3</v>
      </c>
      <c r="C52" s="5">
        <v>0</v>
      </c>
      <c r="D52" s="6">
        <v>4087</v>
      </c>
      <c r="E52" s="6">
        <v>40939</v>
      </c>
      <c r="F52" s="5">
        <v>0</v>
      </c>
      <c r="G52" s="6">
        <v>0</v>
      </c>
      <c r="H52" s="6">
        <v>32195</v>
      </c>
      <c r="I52" s="24">
        <v>0</v>
      </c>
      <c r="J52" s="6">
        <v>0</v>
      </c>
      <c r="K52" s="6">
        <v>0</v>
      </c>
    </row>
    <row r="53" spans="2:11">
      <c r="B53" s="35">
        <v>4</v>
      </c>
      <c r="C53" s="5">
        <v>0</v>
      </c>
      <c r="D53" s="6">
        <v>18069</v>
      </c>
      <c r="E53" s="6">
        <v>47986</v>
      </c>
      <c r="F53" s="5">
        <v>0</v>
      </c>
      <c r="G53" s="6">
        <v>40</v>
      </c>
      <c r="H53" s="6">
        <v>37518</v>
      </c>
      <c r="I53" s="24">
        <v>0</v>
      </c>
      <c r="J53" s="6">
        <v>0</v>
      </c>
      <c r="K53" s="6">
        <v>0</v>
      </c>
    </row>
    <row r="54" spans="2:11">
      <c r="B54" s="35">
        <v>5</v>
      </c>
      <c r="C54" s="5">
        <v>0</v>
      </c>
      <c r="D54" s="6">
        <v>10554</v>
      </c>
      <c r="E54" s="6">
        <v>51496</v>
      </c>
      <c r="F54" s="5">
        <v>0</v>
      </c>
      <c r="G54" s="6">
        <v>0</v>
      </c>
      <c r="H54" s="6">
        <v>35335</v>
      </c>
      <c r="I54" s="24">
        <v>0</v>
      </c>
      <c r="J54" s="6">
        <v>0</v>
      </c>
      <c r="K54" s="6">
        <v>0</v>
      </c>
    </row>
    <row r="55" spans="2:11">
      <c r="B55" s="35">
        <v>6</v>
      </c>
      <c r="C55" s="5">
        <v>0</v>
      </c>
      <c r="D55" s="6">
        <v>30456</v>
      </c>
      <c r="E55" s="6">
        <v>40284</v>
      </c>
      <c r="F55" s="5">
        <v>0</v>
      </c>
      <c r="G55" s="6">
        <v>65</v>
      </c>
      <c r="H55" s="6">
        <v>37255</v>
      </c>
      <c r="I55" s="24">
        <v>0</v>
      </c>
      <c r="J55" s="6">
        <v>0</v>
      </c>
      <c r="K55" s="6">
        <v>0</v>
      </c>
    </row>
    <row r="56" spans="2:11">
      <c r="B56" s="35">
        <v>7</v>
      </c>
      <c r="C56" s="5">
        <v>0</v>
      </c>
      <c r="D56" s="6">
        <v>20730</v>
      </c>
      <c r="E56" s="6">
        <v>39800</v>
      </c>
      <c r="F56" s="5">
        <v>0</v>
      </c>
      <c r="G56" s="6">
        <v>22841</v>
      </c>
      <c r="H56" s="6">
        <v>39673</v>
      </c>
      <c r="I56" s="24">
        <v>0</v>
      </c>
      <c r="J56" s="6">
        <v>0</v>
      </c>
      <c r="K56" s="6">
        <v>0</v>
      </c>
    </row>
    <row r="57" spans="2:11">
      <c r="B57" s="35">
        <v>8</v>
      </c>
      <c r="C57" s="5">
        <v>0</v>
      </c>
      <c r="D57" s="6">
        <v>28552</v>
      </c>
      <c r="E57" s="6">
        <v>36378</v>
      </c>
      <c r="F57" s="5">
        <v>0</v>
      </c>
      <c r="G57" s="6">
        <v>31271</v>
      </c>
      <c r="H57" s="6">
        <v>26870</v>
      </c>
      <c r="I57" s="24">
        <v>0</v>
      </c>
      <c r="J57" s="6">
        <v>0</v>
      </c>
      <c r="K57" s="6">
        <v>0</v>
      </c>
    </row>
    <row r="58" spans="2:11">
      <c r="B58" s="35">
        <v>9</v>
      </c>
      <c r="C58" s="5">
        <v>0</v>
      </c>
      <c r="D58" s="6">
        <v>26570</v>
      </c>
      <c r="E58" s="6">
        <v>35931</v>
      </c>
      <c r="F58" s="5">
        <v>0</v>
      </c>
      <c r="G58" s="6">
        <v>26302</v>
      </c>
      <c r="H58" s="6">
        <v>24063</v>
      </c>
      <c r="I58" s="24">
        <v>0</v>
      </c>
      <c r="J58" s="6">
        <v>0</v>
      </c>
      <c r="K58" s="6">
        <v>0</v>
      </c>
    </row>
    <row r="59" spans="2:11">
      <c r="B59" s="35">
        <v>10</v>
      </c>
      <c r="C59" s="5">
        <v>0</v>
      </c>
      <c r="D59" s="6">
        <v>21049</v>
      </c>
      <c r="E59" s="6">
        <v>34097</v>
      </c>
      <c r="F59" s="5">
        <v>0</v>
      </c>
      <c r="G59" s="6">
        <v>23026</v>
      </c>
      <c r="H59" s="6">
        <v>21230</v>
      </c>
      <c r="I59" s="24">
        <v>0</v>
      </c>
      <c r="J59" s="6">
        <v>0</v>
      </c>
      <c r="K59" s="6">
        <v>0</v>
      </c>
    </row>
    <row r="60" spans="2:11">
      <c r="B60" s="35">
        <v>11</v>
      </c>
      <c r="C60" s="5">
        <v>0</v>
      </c>
      <c r="D60" s="6">
        <v>41422</v>
      </c>
      <c r="E60" s="6">
        <v>52414</v>
      </c>
      <c r="F60" s="5">
        <v>0</v>
      </c>
      <c r="G60" s="6">
        <v>29599</v>
      </c>
      <c r="H60" s="6">
        <v>35024</v>
      </c>
      <c r="I60" s="24">
        <v>0</v>
      </c>
      <c r="J60" s="6">
        <v>0</v>
      </c>
      <c r="K60" s="6">
        <v>3297</v>
      </c>
    </row>
    <row r="61" spans="2:11">
      <c r="B61" s="35">
        <v>12</v>
      </c>
      <c r="C61" s="5">
        <v>771</v>
      </c>
      <c r="D61" s="6">
        <v>49645</v>
      </c>
      <c r="E61" s="6">
        <v>59691</v>
      </c>
      <c r="F61" s="5">
        <v>0</v>
      </c>
      <c r="G61" s="6">
        <v>32240</v>
      </c>
      <c r="H61" s="6">
        <v>33320</v>
      </c>
      <c r="I61" s="24">
        <v>0</v>
      </c>
      <c r="J61" s="6">
        <v>0</v>
      </c>
      <c r="K61" s="6">
        <v>4415</v>
      </c>
    </row>
    <row r="62" spans="2:11" s="14" customFormat="1" ht="17.25" thickBot="1">
      <c r="B62" s="35" t="s">
        <v>31</v>
      </c>
      <c r="C62" s="12">
        <f t="shared" ref="C62:K62" si="3">SUM(C50:C61)</f>
        <v>771</v>
      </c>
      <c r="D62" s="12">
        <f t="shared" si="3"/>
        <v>255003</v>
      </c>
      <c r="E62" s="12">
        <f t="shared" si="3"/>
        <v>513239</v>
      </c>
      <c r="F62" s="11">
        <f t="shared" si="3"/>
        <v>0</v>
      </c>
      <c r="G62" s="12">
        <f t="shared" si="3"/>
        <v>165384</v>
      </c>
      <c r="H62" s="12">
        <f t="shared" si="3"/>
        <v>380124</v>
      </c>
      <c r="I62" s="37">
        <f t="shared" si="3"/>
        <v>0</v>
      </c>
      <c r="J62" s="12">
        <f t="shared" si="3"/>
        <v>0</v>
      </c>
      <c r="K62" s="12">
        <f t="shared" si="3"/>
        <v>7712</v>
      </c>
    </row>
    <row r="63" spans="2:11" ht="21" thickBot="1">
      <c r="B63" s="76" t="s">
        <v>19</v>
      </c>
      <c r="C63" s="77"/>
      <c r="D63" s="77"/>
      <c r="E63" s="77"/>
      <c r="F63" s="77"/>
      <c r="G63" s="77"/>
      <c r="H63" s="77"/>
      <c r="I63" s="77"/>
      <c r="J63" s="77"/>
      <c r="K63" s="77"/>
    </row>
    <row r="64" spans="2:11">
      <c r="B64" s="70" t="s">
        <v>30</v>
      </c>
      <c r="C64" s="69" t="s">
        <v>21</v>
      </c>
      <c r="D64" s="68"/>
      <c r="E64" s="68"/>
      <c r="F64" s="69" t="s">
        <v>23</v>
      </c>
      <c r="G64" s="68"/>
      <c r="H64" s="68"/>
      <c r="I64" s="67" t="s">
        <v>20</v>
      </c>
      <c r="J64" s="68"/>
      <c r="K64" s="68"/>
    </row>
    <row r="65" spans="2:11">
      <c r="B65" s="70"/>
      <c r="C65" s="1">
        <v>2023</v>
      </c>
      <c r="D65" s="2">
        <v>2024</v>
      </c>
      <c r="E65" s="2">
        <v>2025</v>
      </c>
      <c r="F65" s="1">
        <v>2023</v>
      </c>
      <c r="G65" s="2">
        <v>2024</v>
      </c>
      <c r="H65" s="2">
        <v>2025</v>
      </c>
      <c r="I65" s="23">
        <v>2023</v>
      </c>
      <c r="J65" s="2">
        <v>2024</v>
      </c>
      <c r="K65" s="2">
        <v>2025</v>
      </c>
    </row>
    <row r="66" spans="2:11">
      <c r="B66" s="35">
        <v>1</v>
      </c>
      <c r="C66" s="5">
        <v>8561</v>
      </c>
      <c r="D66" s="6">
        <v>23536</v>
      </c>
      <c r="E66" s="6">
        <v>26655</v>
      </c>
      <c r="F66" s="5">
        <v>8614</v>
      </c>
      <c r="G66" s="6">
        <v>16986</v>
      </c>
      <c r="H66" s="6">
        <v>17428</v>
      </c>
      <c r="I66" s="24">
        <v>7211</v>
      </c>
      <c r="J66" s="6">
        <v>13901</v>
      </c>
      <c r="K66" s="6">
        <v>19356</v>
      </c>
    </row>
    <row r="67" spans="2:11">
      <c r="B67" s="35">
        <v>2</v>
      </c>
      <c r="C67" s="5">
        <v>17562</v>
      </c>
      <c r="D67" s="6">
        <v>19346</v>
      </c>
      <c r="E67" s="6">
        <v>29806</v>
      </c>
      <c r="F67" s="5">
        <v>13584</v>
      </c>
      <c r="G67" s="6">
        <v>21381</v>
      </c>
      <c r="H67" s="6">
        <v>17539</v>
      </c>
      <c r="I67" s="24">
        <v>9897</v>
      </c>
      <c r="J67" s="6">
        <v>11633</v>
      </c>
      <c r="K67" s="6">
        <v>22349</v>
      </c>
    </row>
    <row r="68" spans="2:11">
      <c r="B68" s="35">
        <v>3</v>
      </c>
      <c r="C68" s="5">
        <v>20060</v>
      </c>
      <c r="D68" s="6">
        <v>23551</v>
      </c>
      <c r="E68" s="6">
        <v>35631</v>
      </c>
      <c r="F68" s="5">
        <v>11422</v>
      </c>
      <c r="G68" s="6">
        <v>18899</v>
      </c>
      <c r="H68" s="6">
        <v>16844</v>
      </c>
      <c r="I68" s="24">
        <v>14797</v>
      </c>
      <c r="J68" s="6">
        <v>11694</v>
      </c>
      <c r="K68" s="6">
        <v>22237</v>
      </c>
    </row>
    <row r="69" spans="2:11">
      <c r="B69" s="35">
        <v>4</v>
      </c>
      <c r="C69" s="5">
        <v>17821</v>
      </c>
      <c r="D69" s="6">
        <v>25766</v>
      </c>
      <c r="E69" s="6">
        <v>35618</v>
      </c>
      <c r="F69" s="5">
        <v>15512</v>
      </c>
      <c r="G69" s="6">
        <v>19959</v>
      </c>
      <c r="H69" s="6">
        <v>20368</v>
      </c>
      <c r="I69" s="24">
        <v>15207</v>
      </c>
      <c r="J69" s="6">
        <v>16351</v>
      </c>
      <c r="K69" s="6">
        <v>32315</v>
      </c>
    </row>
    <row r="70" spans="2:11">
      <c r="B70" s="35">
        <v>5</v>
      </c>
      <c r="C70" s="5">
        <v>17760</v>
      </c>
      <c r="D70" s="6">
        <v>24334</v>
      </c>
      <c r="E70" s="6">
        <v>35707</v>
      </c>
      <c r="F70" s="5">
        <v>15934</v>
      </c>
      <c r="G70" s="6">
        <v>22448</v>
      </c>
      <c r="H70" s="6">
        <v>22751</v>
      </c>
      <c r="I70" s="24">
        <v>13181</v>
      </c>
      <c r="J70" s="6">
        <v>21729</v>
      </c>
      <c r="K70" s="6">
        <v>25905</v>
      </c>
    </row>
    <row r="71" spans="2:11">
      <c r="B71" s="35">
        <v>6</v>
      </c>
      <c r="C71" s="5">
        <v>15702</v>
      </c>
      <c r="D71" s="6">
        <v>24875</v>
      </c>
      <c r="E71" s="6">
        <v>36680</v>
      </c>
      <c r="F71" s="5">
        <v>11763</v>
      </c>
      <c r="G71" s="6">
        <v>17532</v>
      </c>
      <c r="H71" s="6">
        <v>19100</v>
      </c>
      <c r="I71" s="24">
        <v>17217</v>
      </c>
      <c r="J71" s="6">
        <v>13769</v>
      </c>
      <c r="K71" s="6">
        <v>27573</v>
      </c>
    </row>
    <row r="72" spans="2:11">
      <c r="B72" s="35">
        <v>7</v>
      </c>
      <c r="C72" s="5">
        <v>18025</v>
      </c>
      <c r="D72" s="6">
        <v>23939</v>
      </c>
      <c r="E72" s="6">
        <v>28763</v>
      </c>
      <c r="F72" s="5">
        <v>10785</v>
      </c>
      <c r="G72" s="6">
        <v>14278</v>
      </c>
      <c r="H72" s="6">
        <v>18645</v>
      </c>
      <c r="I72" s="24">
        <v>13761</v>
      </c>
      <c r="J72" s="6">
        <v>16049</v>
      </c>
      <c r="K72" s="6">
        <v>25389</v>
      </c>
    </row>
    <row r="73" spans="2:11">
      <c r="B73" s="35">
        <v>8</v>
      </c>
      <c r="C73" s="5">
        <v>17448</v>
      </c>
      <c r="D73" s="6">
        <v>24725</v>
      </c>
      <c r="E73" s="6">
        <v>40165</v>
      </c>
      <c r="F73" s="5">
        <v>16393</v>
      </c>
      <c r="G73" s="6">
        <v>16399</v>
      </c>
      <c r="H73" s="6">
        <v>17571</v>
      </c>
      <c r="I73" s="24">
        <v>11525</v>
      </c>
      <c r="J73" s="6">
        <v>13104</v>
      </c>
      <c r="K73" s="6">
        <v>20513</v>
      </c>
    </row>
    <row r="74" spans="2:11">
      <c r="B74" s="35">
        <v>9</v>
      </c>
      <c r="C74" s="5">
        <v>12036</v>
      </c>
      <c r="D74" s="6">
        <v>19055</v>
      </c>
      <c r="E74" s="6">
        <v>28157</v>
      </c>
      <c r="F74" s="5">
        <v>11775</v>
      </c>
      <c r="G74" s="6">
        <v>14864</v>
      </c>
      <c r="H74" s="6">
        <v>19928</v>
      </c>
      <c r="I74" s="24">
        <v>11423</v>
      </c>
      <c r="J74" s="6">
        <v>13756</v>
      </c>
      <c r="K74" s="6">
        <v>26809</v>
      </c>
    </row>
    <row r="75" spans="2:11">
      <c r="B75" s="35">
        <v>10</v>
      </c>
      <c r="C75" s="5">
        <v>25517</v>
      </c>
      <c r="D75" s="6">
        <v>30794</v>
      </c>
      <c r="E75" s="6">
        <v>37061</v>
      </c>
      <c r="F75" s="5">
        <v>17034</v>
      </c>
      <c r="G75" s="6">
        <v>21164</v>
      </c>
      <c r="H75" s="6">
        <v>17962</v>
      </c>
      <c r="I75" s="24">
        <v>15422</v>
      </c>
      <c r="J75" s="6">
        <v>17744</v>
      </c>
      <c r="K75" s="6">
        <v>23785</v>
      </c>
    </row>
    <row r="76" spans="2:11">
      <c r="B76" s="35">
        <v>11</v>
      </c>
      <c r="C76" s="5">
        <v>14905</v>
      </c>
      <c r="D76" s="6">
        <v>30934</v>
      </c>
      <c r="E76" s="6">
        <v>48819</v>
      </c>
      <c r="F76" s="5">
        <v>16717</v>
      </c>
      <c r="G76" s="6">
        <v>21919</v>
      </c>
      <c r="H76" s="6">
        <v>16977</v>
      </c>
      <c r="I76" s="24">
        <v>13870</v>
      </c>
      <c r="J76" s="6">
        <v>26917</v>
      </c>
      <c r="K76" s="6">
        <v>30873</v>
      </c>
    </row>
    <row r="77" spans="2:11">
      <c r="B77" s="35">
        <v>12</v>
      </c>
      <c r="C77" s="5">
        <v>21148</v>
      </c>
      <c r="D77" s="6">
        <v>33250</v>
      </c>
      <c r="E77" s="6">
        <v>52346</v>
      </c>
      <c r="F77" s="5">
        <v>11027</v>
      </c>
      <c r="G77" s="6">
        <v>14500</v>
      </c>
      <c r="H77" s="6">
        <v>22320</v>
      </c>
      <c r="I77" s="24">
        <v>12125</v>
      </c>
      <c r="J77" s="6">
        <v>22999</v>
      </c>
      <c r="K77" s="6">
        <v>36281</v>
      </c>
    </row>
    <row r="78" spans="2:11" s="14" customFormat="1" ht="17.25" thickBot="1">
      <c r="B78" s="35" t="s">
        <v>31</v>
      </c>
      <c r="C78" s="11">
        <f t="shared" ref="C78:K78" si="4">SUM(C66:C77)</f>
        <v>206545</v>
      </c>
      <c r="D78" s="12">
        <f t="shared" si="4"/>
        <v>304105</v>
      </c>
      <c r="E78" s="12">
        <f t="shared" si="4"/>
        <v>435408</v>
      </c>
      <c r="F78" s="11">
        <f t="shared" si="4"/>
        <v>160560</v>
      </c>
      <c r="G78" s="12">
        <f t="shared" si="4"/>
        <v>220329</v>
      </c>
      <c r="H78" s="12">
        <f t="shared" si="4"/>
        <v>227433</v>
      </c>
      <c r="I78" s="37">
        <f t="shared" si="4"/>
        <v>155636</v>
      </c>
      <c r="J78" s="12">
        <f t="shared" si="4"/>
        <v>199646</v>
      </c>
      <c r="K78" s="12">
        <f t="shared" si="4"/>
        <v>313385</v>
      </c>
    </row>
    <row r="79" spans="2:11">
      <c r="B79" s="70" t="s">
        <v>30</v>
      </c>
      <c r="C79" s="69" t="s">
        <v>24</v>
      </c>
      <c r="D79" s="68"/>
      <c r="E79" s="68"/>
      <c r="F79" s="69" t="s">
        <v>22</v>
      </c>
      <c r="G79" s="68"/>
      <c r="H79" s="68"/>
      <c r="I79" s="67" t="s">
        <v>25</v>
      </c>
      <c r="J79" s="68"/>
      <c r="K79" s="68"/>
    </row>
    <row r="80" spans="2:11">
      <c r="B80" s="70"/>
      <c r="C80" s="1">
        <v>2023</v>
      </c>
      <c r="D80" s="2">
        <v>2024</v>
      </c>
      <c r="E80" s="2">
        <v>2025</v>
      </c>
      <c r="F80" s="1">
        <v>2023</v>
      </c>
      <c r="G80" s="2">
        <v>2024</v>
      </c>
      <c r="H80" s="2">
        <v>2025</v>
      </c>
      <c r="I80" s="23">
        <v>2023</v>
      </c>
      <c r="J80" s="2">
        <v>2024</v>
      </c>
      <c r="K80" s="2">
        <v>2025</v>
      </c>
    </row>
    <row r="81" spans="2:11">
      <c r="B81" s="35">
        <v>1</v>
      </c>
      <c r="C81" s="5">
        <v>3358</v>
      </c>
      <c r="D81" s="6">
        <v>9820</v>
      </c>
      <c r="E81" s="6">
        <v>12240</v>
      </c>
      <c r="F81" s="5">
        <v>0</v>
      </c>
      <c r="G81" s="6">
        <v>4972</v>
      </c>
      <c r="H81" s="6">
        <v>10380</v>
      </c>
      <c r="I81" s="24">
        <v>0</v>
      </c>
      <c r="J81" s="6">
        <v>0</v>
      </c>
      <c r="K81" s="6">
        <v>7446</v>
      </c>
    </row>
    <row r="82" spans="2:11">
      <c r="B82" s="35">
        <v>2</v>
      </c>
      <c r="C82" s="5">
        <v>6366</v>
      </c>
      <c r="D82" s="6">
        <v>12662</v>
      </c>
      <c r="E82" s="6">
        <v>13996</v>
      </c>
      <c r="F82" s="5">
        <v>0</v>
      </c>
      <c r="G82" s="6">
        <v>4700</v>
      </c>
      <c r="H82" s="6">
        <v>12808</v>
      </c>
      <c r="I82" s="24">
        <v>0</v>
      </c>
      <c r="J82" s="6">
        <v>0</v>
      </c>
      <c r="K82" s="6">
        <v>12140</v>
      </c>
    </row>
    <row r="83" spans="2:11">
      <c r="B83" s="35">
        <v>3</v>
      </c>
      <c r="C83" s="5">
        <v>7346</v>
      </c>
      <c r="D83" s="6">
        <v>9855</v>
      </c>
      <c r="E83" s="6">
        <v>14505</v>
      </c>
      <c r="F83" s="5">
        <v>0</v>
      </c>
      <c r="G83" s="6">
        <v>5185</v>
      </c>
      <c r="H83" s="6">
        <v>11791</v>
      </c>
      <c r="I83" s="24">
        <v>0</v>
      </c>
      <c r="J83" s="6">
        <v>2201</v>
      </c>
      <c r="K83" s="6">
        <v>12943</v>
      </c>
    </row>
    <row r="84" spans="2:11">
      <c r="B84" s="35">
        <v>4</v>
      </c>
      <c r="C84" s="5">
        <v>6815</v>
      </c>
      <c r="D84" s="6">
        <v>9143</v>
      </c>
      <c r="E84" s="6">
        <v>15194</v>
      </c>
      <c r="F84" s="5">
        <v>0</v>
      </c>
      <c r="G84" s="6">
        <v>4130</v>
      </c>
      <c r="H84" s="6">
        <v>10360</v>
      </c>
      <c r="I84" s="24">
        <v>0</v>
      </c>
      <c r="J84" s="6">
        <v>7917</v>
      </c>
      <c r="K84" s="6">
        <v>14749</v>
      </c>
    </row>
    <row r="85" spans="2:11">
      <c r="B85" s="35">
        <v>5</v>
      </c>
      <c r="C85" s="5">
        <v>4915</v>
      </c>
      <c r="D85" s="6">
        <v>12387</v>
      </c>
      <c r="E85" s="6">
        <v>16174</v>
      </c>
      <c r="F85" s="5">
        <v>0</v>
      </c>
      <c r="G85" s="6">
        <v>5172</v>
      </c>
      <c r="H85" s="6">
        <v>13409</v>
      </c>
      <c r="I85" s="24">
        <v>0</v>
      </c>
      <c r="J85" s="6">
        <v>13468</v>
      </c>
      <c r="K85" s="6">
        <v>12347</v>
      </c>
    </row>
    <row r="86" spans="2:11">
      <c r="B86" s="35">
        <v>6</v>
      </c>
      <c r="C86" s="5">
        <v>7029</v>
      </c>
      <c r="D86" s="6">
        <v>12002</v>
      </c>
      <c r="E86" s="6">
        <v>14217</v>
      </c>
      <c r="F86" s="5">
        <v>0</v>
      </c>
      <c r="G86" s="6">
        <v>6612</v>
      </c>
      <c r="H86" s="6">
        <v>15023</v>
      </c>
      <c r="I86" s="24">
        <v>0</v>
      </c>
      <c r="J86" s="6">
        <v>7497</v>
      </c>
      <c r="K86" s="6">
        <v>13945</v>
      </c>
    </row>
    <row r="87" spans="2:11">
      <c r="B87" s="35">
        <v>7</v>
      </c>
      <c r="C87" s="5">
        <v>5528</v>
      </c>
      <c r="D87" s="6">
        <v>15342</v>
      </c>
      <c r="E87" s="6">
        <v>19165</v>
      </c>
      <c r="F87" s="5">
        <v>0</v>
      </c>
      <c r="G87" s="6">
        <v>6042</v>
      </c>
      <c r="H87" s="6">
        <v>14679</v>
      </c>
      <c r="I87" s="24">
        <v>0</v>
      </c>
      <c r="J87" s="6">
        <v>12428</v>
      </c>
      <c r="K87" s="6">
        <v>13784</v>
      </c>
    </row>
    <row r="88" spans="2:11">
      <c r="B88" s="35">
        <v>8</v>
      </c>
      <c r="C88" s="5">
        <v>6554</v>
      </c>
      <c r="D88" s="6">
        <v>11872</v>
      </c>
      <c r="E88" s="6">
        <v>17553</v>
      </c>
      <c r="F88" s="5">
        <v>0</v>
      </c>
      <c r="G88" s="6">
        <v>7844</v>
      </c>
      <c r="H88" s="6">
        <v>10706</v>
      </c>
      <c r="I88" s="24">
        <v>0</v>
      </c>
      <c r="J88" s="6">
        <v>7928</v>
      </c>
      <c r="K88" s="6">
        <v>11652</v>
      </c>
    </row>
    <row r="89" spans="2:11">
      <c r="B89" s="35">
        <v>9</v>
      </c>
      <c r="C89" s="5">
        <v>6536</v>
      </c>
      <c r="D89" s="6">
        <v>12353</v>
      </c>
      <c r="E89" s="6">
        <v>17533</v>
      </c>
      <c r="F89" s="5">
        <v>0</v>
      </c>
      <c r="G89" s="6">
        <v>6894</v>
      </c>
      <c r="H89" s="6">
        <v>12902</v>
      </c>
      <c r="I89" s="24">
        <v>0</v>
      </c>
      <c r="J89" s="6">
        <v>8001</v>
      </c>
      <c r="K89" s="6">
        <v>14087</v>
      </c>
    </row>
    <row r="90" spans="2:11">
      <c r="B90" s="35">
        <v>10</v>
      </c>
      <c r="C90" s="5">
        <v>11103</v>
      </c>
      <c r="D90" s="6">
        <v>17208</v>
      </c>
      <c r="E90" s="6">
        <v>18187</v>
      </c>
      <c r="F90" s="5">
        <v>0</v>
      </c>
      <c r="G90" s="6">
        <v>6522</v>
      </c>
      <c r="H90" s="6">
        <v>13274</v>
      </c>
      <c r="I90" s="24">
        <v>0</v>
      </c>
      <c r="J90" s="6">
        <v>13099</v>
      </c>
      <c r="K90" s="6">
        <v>8817</v>
      </c>
    </row>
    <row r="91" spans="2:11">
      <c r="B91" s="35">
        <v>11</v>
      </c>
      <c r="C91" s="5">
        <v>12052</v>
      </c>
      <c r="D91" s="6">
        <v>16563</v>
      </c>
      <c r="E91" s="6">
        <v>20550</v>
      </c>
      <c r="F91" s="5">
        <v>0</v>
      </c>
      <c r="G91" s="6">
        <v>12019</v>
      </c>
      <c r="H91" s="6">
        <v>15417</v>
      </c>
      <c r="I91" s="24">
        <v>0</v>
      </c>
      <c r="J91" s="6">
        <v>11631</v>
      </c>
      <c r="K91" s="6">
        <v>15154</v>
      </c>
    </row>
    <row r="92" spans="2:11">
      <c r="B92" s="35">
        <v>12</v>
      </c>
      <c r="C92" s="5">
        <v>8037</v>
      </c>
      <c r="D92" s="6">
        <v>13488</v>
      </c>
      <c r="E92" s="6">
        <v>15973</v>
      </c>
      <c r="F92" s="5">
        <v>481</v>
      </c>
      <c r="G92" s="6">
        <v>12032</v>
      </c>
      <c r="H92" s="6">
        <v>15631</v>
      </c>
      <c r="I92" s="24">
        <v>0</v>
      </c>
      <c r="J92" s="6">
        <v>12985</v>
      </c>
      <c r="K92" s="6">
        <v>12001</v>
      </c>
    </row>
    <row r="93" spans="2:11" s="14" customFormat="1" ht="17.25" thickBot="1">
      <c r="B93" s="35" t="s">
        <v>31</v>
      </c>
      <c r="C93" s="11">
        <f t="shared" ref="C93:K93" si="5">SUM(C81:C92)</f>
        <v>85639</v>
      </c>
      <c r="D93" s="12">
        <f t="shared" si="5"/>
        <v>152695</v>
      </c>
      <c r="E93" s="12">
        <f t="shared" si="5"/>
        <v>195287</v>
      </c>
      <c r="F93" s="11">
        <f t="shared" si="5"/>
        <v>481</v>
      </c>
      <c r="G93" s="12">
        <f t="shared" si="5"/>
        <v>82124</v>
      </c>
      <c r="H93" s="12">
        <f t="shared" si="5"/>
        <v>156380</v>
      </c>
      <c r="I93" s="37">
        <f t="shared" si="5"/>
        <v>0</v>
      </c>
      <c r="J93" s="12">
        <f t="shared" si="5"/>
        <v>97155</v>
      </c>
      <c r="K93" s="12">
        <f t="shared" si="5"/>
        <v>149065</v>
      </c>
    </row>
    <row r="94" spans="2:11">
      <c r="B94" s="70" t="s">
        <v>30</v>
      </c>
      <c r="C94" s="69" t="s">
        <v>26</v>
      </c>
      <c r="D94" s="68"/>
      <c r="E94" s="68"/>
      <c r="F94" s="69" t="s">
        <v>27</v>
      </c>
      <c r="G94" s="68"/>
      <c r="H94" s="68"/>
      <c r="I94" s="67" t="s">
        <v>28</v>
      </c>
      <c r="J94" s="68"/>
      <c r="K94" s="68"/>
    </row>
    <row r="95" spans="2:11">
      <c r="B95" s="70"/>
      <c r="C95" s="1">
        <v>2023</v>
      </c>
      <c r="D95" s="2">
        <v>2024</v>
      </c>
      <c r="E95" s="2">
        <v>2025</v>
      </c>
      <c r="F95" s="1">
        <v>2023</v>
      </c>
      <c r="G95" s="2">
        <v>2024</v>
      </c>
      <c r="H95" s="2">
        <v>2025</v>
      </c>
      <c r="I95" s="23">
        <v>2023</v>
      </c>
      <c r="J95" s="2">
        <v>2024</v>
      </c>
      <c r="K95" s="2">
        <v>2025</v>
      </c>
    </row>
    <row r="96" spans="2:11">
      <c r="B96" s="35">
        <v>1</v>
      </c>
      <c r="C96" s="5">
        <v>0</v>
      </c>
      <c r="D96" s="6">
        <v>0</v>
      </c>
      <c r="E96" s="6">
        <v>6164</v>
      </c>
      <c r="F96" s="5">
        <v>0</v>
      </c>
      <c r="G96" s="6">
        <v>0</v>
      </c>
      <c r="H96" s="6">
        <v>0</v>
      </c>
      <c r="I96" s="24">
        <v>0</v>
      </c>
      <c r="J96" s="6">
        <v>0</v>
      </c>
      <c r="K96" s="6">
        <v>0</v>
      </c>
    </row>
    <row r="97" spans="2:11">
      <c r="B97" s="35">
        <v>2</v>
      </c>
      <c r="C97" s="5">
        <v>0</v>
      </c>
      <c r="D97" s="6">
        <v>0</v>
      </c>
      <c r="E97" s="6">
        <v>8812</v>
      </c>
      <c r="F97" s="5">
        <v>0</v>
      </c>
      <c r="G97" s="6">
        <v>0</v>
      </c>
      <c r="H97" s="6">
        <v>0</v>
      </c>
      <c r="I97" s="24">
        <v>0</v>
      </c>
      <c r="J97" s="6">
        <v>0</v>
      </c>
      <c r="K97" s="6">
        <v>0</v>
      </c>
    </row>
    <row r="98" spans="2:11">
      <c r="B98" s="35">
        <v>3</v>
      </c>
      <c r="C98" s="5">
        <v>0</v>
      </c>
      <c r="D98" s="6">
        <v>0</v>
      </c>
      <c r="E98" s="6">
        <v>12848</v>
      </c>
      <c r="F98" s="5">
        <v>0</v>
      </c>
      <c r="G98" s="6">
        <v>0</v>
      </c>
      <c r="H98" s="6">
        <v>0</v>
      </c>
      <c r="I98" s="24">
        <v>0</v>
      </c>
      <c r="J98" s="6">
        <v>0</v>
      </c>
      <c r="K98" s="6">
        <v>0</v>
      </c>
    </row>
    <row r="99" spans="2:11">
      <c r="B99" s="35">
        <v>4</v>
      </c>
      <c r="C99" s="5">
        <v>0</v>
      </c>
      <c r="D99" s="6">
        <v>0</v>
      </c>
      <c r="E99" s="6">
        <v>10331</v>
      </c>
      <c r="F99" s="5">
        <v>0</v>
      </c>
      <c r="G99" s="6">
        <v>0</v>
      </c>
      <c r="H99" s="6">
        <v>202</v>
      </c>
      <c r="I99" s="24">
        <v>0</v>
      </c>
      <c r="J99" s="6">
        <v>0</v>
      </c>
      <c r="K99" s="6">
        <v>0</v>
      </c>
    </row>
    <row r="100" spans="2:11">
      <c r="B100" s="35">
        <v>5</v>
      </c>
      <c r="C100" s="5">
        <v>0</v>
      </c>
      <c r="D100" s="6">
        <v>0</v>
      </c>
      <c r="E100" s="6">
        <v>10139</v>
      </c>
      <c r="F100" s="5">
        <v>0</v>
      </c>
      <c r="G100" s="6">
        <v>0</v>
      </c>
      <c r="H100" s="6">
        <v>5732</v>
      </c>
      <c r="I100" s="24">
        <v>0</v>
      </c>
      <c r="J100" s="6">
        <v>0</v>
      </c>
      <c r="K100" s="6">
        <v>0</v>
      </c>
    </row>
    <row r="101" spans="2:11">
      <c r="B101" s="35">
        <v>6</v>
      </c>
      <c r="C101" s="5">
        <v>0</v>
      </c>
      <c r="D101" s="6">
        <v>0</v>
      </c>
      <c r="E101" s="6">
        <v>13505</v>
      </c>
      <c r="F101" s="5">
        <v>0</v>
      </c>
      <c r="G101" s="6">
        <v>0</v>
      </c>
      <c r="H101" s="6">
        <v>5572</v>
      </c>
      <c r="I101" s="24">
        <v>0</v>
      </c>
      <c r="J101" s="6">
        <v>0</v>
      </c>
      <c r="K101" s="6">
        <v>0</v>
      </c>
    </row>
    <row r="102" spans="2:11">
      <c r="B102" s="35">
        <v>7</v>
      </c>
      <c r="C102" s="5">
        <v>0</v>
      </c>
      <c r="D102" s="6">
        <v>0</v>
      </c>
      <c r="E102" s="6">
        <v>11940</v>
      </c>
      <c r="F102" s="5">
        <v>0</v>
      </c>
      <c r="G102" s="6">
        <v>0</v>
      </c>
      <c r="H102" s="6">
        <v>5246</v>
      </c>
      <c r="I102" s="24">
        <v>0</v>
      </c>
      <c r="J102" s="6">
        <v>0</v>
      </c>
      <c r="K102" s="6">
        <v>0</v>
      </c>
    </row>
    <row r="103" spans="2:11">
      <c r="B103" s="35">
        <v>8</v>
      </c>
      <c r="C103" s="5">
        <v>0</v>
      </c>
      <c r="D103" s="6">
        <v>0</v>
      </c>
      <c r="E103" s="6">
        <v>12872</v>
      </c>
      <c r="F103" s="5">
        <v>0</v>
      </c>
      <c r="G103" s="6">
        <v>0</v>
      </c>
      <c r="H103" s="6">
        <v>8189</v>
      </c>
      <c r="I103" s="24">
        <v>0</v>
      </c>
      <c r="J103" s="6">
        <v>0</v>
      </c>
      <c r="K103" s="6">
        <v>0</v>
      </c>
    </row>
    <row r="104" spans="2:11">
      <c r="B104" s="35">
        <v>9</v>
      </c>
      <c r="C104" s="5">
        <v>0</v>
      </c>
      <c r="D104" s="6">
        <v>0</v>
      </c>
      <c r="E104" s="6">
        <v>16173</v>
      </c>
      <c r="F104" s="5">
        <v>0</v>
      </c>
      <c r="G104" s="6">
        <v>0</v>
      </c>
      <c r="H104" s="6">
        <v>5720</v>
      </c>
      <c r="I104" s="24">
        <v>0</v>
      </c>
      <c r="J104" s="6">
        <v>0</v>
      </c>
      <c r="K104" s="6">
        <v>9260</v>
      </c>
    </row>
    <row r="105" spans="2:11">
      <c r="B105" s="35">
        <v>10</v>
      </c>
      <c r="C105" s="5">
        <v>0</v>
      </c>
      <c r="D105" s="6">
        <v>1437</v>
      </c>
      <c r="E105" s="6">
        <v>16842</v>
      </c>
      <c r="F105" s="5">
        <v>0</v>
      </c>
      <c r="G105" s="6">
        <v>0</v>
      </c>
      <c r="H105" s="6">
        <v>6514</v>
      </c>
      <c r="I105" s="24">
        <v>0</v>
      </c>
      <c r="J105" s="6">
        <v>0</v>
      </c>
      <c r="K105" s="6">
        <v>8532</v>
      </c>
    </row>
    <row r="106" spans="2:11">
      <c r="B106" s="35">
        <v>11</v>
      </c>
      <c r="C106" s="5">
        <v>0</v>
      </c>
      <c r="D106" s="6">
        <v>5448</v>
      </c>
      <c r="E106" s="6">
        <v>18214</v>
      </c>
      <c r="F106" s="5">
        <v>0</v>
      </c>
      <c r="G106" s="6">
        <v>0</v>
      </c>
      <c r="H106" s="6">
        <v>5868</v>
      </c>
      <c r="I106" s="24">
        <v>0</v>
      </c>
      <c r="J106" s="6">
        <v>0</v>
      </c>
      <c r="K106" s="6">
        <v>13977</v>
      </c>
    </row>
    <row r="107" spans="2:11">
      <c r="B107" s="35">
        <v>12</v>
      </c>
      <c r="C107" s="5">
        <v>0</v>
      </c>
      <c r="D107" s="6">
        <v>9969</v>
      </c>
      <c r="E107" s="6">
        <v>21036</v>
      </c>
      <c r="F107" s="5">
        <v>0</v>
      </c>
      <c r="G107" s="6">
        <v>0</v>
      </c>
      <c r="H107" s="6">
        <v>5308</v>
      </c>
      <c r="I107" s="24">
        <v>0</v>
      </c>
      <c r="J107" s="6">
        <v>0</v>
      </c>
      <c r="K107" s="6">
        <v>12065</v>
      </c>
    </row>
    <row r="108" spans="2:11" s="14" customFormat="1" ht="17.25" thickBot="1">
      <c r="B108" s="38" t="s">
        <v>31</v>
      </c>
      <c r="C108" s="11">
        <f t="shared" ref="C108:K108" si="6">SUM(C96:C107)</f>
        <v>0</v>
      </c>
      <c r="D108" s="12">
        <f t="shared" si="6"/>
        <v>16854</v>
      </c>
      <c r="E108" s="12">
        <f t="shared" si="6"/>
        <v>158876</v>
      </c>
      <c r="F108" s="11">
        <f t="shared" si="6"/>
        <v>0</v>
      </c>
      <c r="G108" s="12">
        <f t="shared" si="6"/>
        <v>0</v>
      </c>
      <c r="H108" s="12">
        <f t="shared" si="6"/>
        <v>48351</v>
      </c>
      <c r="I108" s="37">
        <f t="shared" si="6"/>
        <v>0</v>
      </c>
      <c r="J108" s="12">
        <f t="shared" si="6"/>
        <v>0</v>
      </c>
      <c r="K108" s="12">
        <f t="shared" si="6"/>
        <v>43834</v>
      </c>
    </row>
    <row r="109" spans="2:11">
      <c r="B109" s="71" t="s">
        <v>30</v>
      </c>
      <c r="C109" s="69" t="s">
        <v>47</v>
      </c>
      <c r="D109" s="68"/>
      <c r="E109" s="68"/>
      <c r="F109" s="65" t="s">
        <v>60</v>
      </c>
      <c r="G109" s="66"/>
      <c r="H109" s="66"/>
    </row>
    <row r="110" spans="2:11">
      <c r="B110" s="70"/>
      <c r="C110" s="1">
        <v>2023</v>
      </c>
      <c r="D110" s="2">
        <v>2024</v>
      </c>
      <c r="E110" s="2">
        <v>2025</v>
      </c>
      <c r="F110" s="43">
        <v>2023</v>
      </c>
      <c r="G110" s="39">
        <v>2024</v>
      </c>
      <c r="H110" s="39">
        <v>2025</v>
      </c>
    </row>
    <row r="111" spans="2:11">
      <c r="B111" s="35">
        <v>1</v>
      </c>
      <c r="C111" s="5">
        <v>0</v>
      </c>
      <c r="D111" s="6">
        <v>0</v>
      </c>
      <c r="E111" s="6">
        <v>0</v>
      </c>
      <c r="F111" s="44">
        <f t="shared" ref="F111:H122" si="7">C5+F5+I5+C20+F20+C35+I20+F35+I35+C50+F50+I50+C66+F66+I66+C81+F81+I81+C96+F96+I96+C111</f>
        <v>415802</v>
      </c>
      <c r="G111" s="40">
        <f t="shared" si="7"/>
        <v>740935</v>
      </c>
      <c r="H111" s="40">
        <f t="shared" si="7"/>
        <v>979967</v>
      </c>
    </row>
    <row r="112" spans="2:11">
      <c r="B112" s="35">
        <v>2</v>
      </c>
      <c r="C112" s="5">
        <v>0</v>
      </c>
      <c r="D112" s="6">
        <v>0</v>
      </c>
      <c r="E112" s="6">
        <v>0</v>
      </c>
      <c r="F112" s="44">
        <f t="shared" si="7"/>
        <v>608015</v>
      </c>
      <c r="G112" s="40">
        <f t="shared" si="7"/>
        <v>692136</v>
      </c>
      <c r="H112" s="40">
        <f t="shared" si="7"/>
        <v>1078480</v>
      </c>
    </row>
    <row r="113" spans="2:8">
      <c r="B113" s="35">
        <v>3</v>
      </c>
      <c r="C113" s="5">
        <v>0</v>
      </c>
      <c r="D113" s="6">
        <v>0</v>
      </c>
      <c r="E113" s="6">
        <v>0</v>
      </c>
      <c r="F113" s="44">
        <f t="shared" si="7"/>
        <v>633847</v>
      </c>
      <c r="G113" s="40">
        <f t="shared" si="7"/>
        <v>767540</v>
      </c>
      <c r="H113" s="40">
        <f t="shared" si="7"/>
        <v>1120605</v>
      </c>
    </row>
    <row r="114" spans="2:8">
      <c r="B114" s="35">
        <v>4</v>
      </c>
      <c r="C114" s="5">
        <v>0</v>
      </c>
      <c r="D114" s="6">
        <v>0</v>
      </c>
      <c r="E114" s="6">
        <v>0</v>
      </c>
      <c r="F114" s="44">
        <f t="shared" si="7"/>
        <v>668423</v>
      </c>
      <c r="G114" s="40">
        <f t="shared" si="7"/>
        <v>950164</v>
      </c>
      <c r="H114" s="40">
        <f t="shared" si="7"/>
        <v>1217013</v>
      </c>
    </row>
    <row r="115" spans="2:8">
      <c r="B115" s="35">
        <v>5</v>
      </c>
      <c r="C115" s="5">
        <v>0</v>
      </c>
      <c r="D115" s="6">
        <v>0</v>
      </c>
      <c r="E115" s="6">
        <v>0</v>
      </c>
      <c r="F115" s="44">
        <f t="shared" si="7"/>
        <v>673379</v>
      </c>
      <c r="G115" s="40">
        <f t="shared" si="7"/>
        <v>1053914</v>
      </c>
      <c r="H115" s="40">
        <f t="shared" si="7"/>
        <v>1212168</v>
      </c>
    </row>
    <row r="116" spans="2:8">
      <c r="B116" s="35">
        <v>6</v>
      </c>
      <c r="C116" s="5">
        <v>0</v>
      </c>
      <c r="D116" s="6">
        <v>0</v>
      </c>
      <c r="E116" s="6">
        <v>0</v>
      </c>
      <c r="F116" s="44">
        <f t="shared" si="7"/>
        <v>690247</v>
      </c>
      <c r="G116" s="40">
        <f t="shared" si="7"/>
        <v>836793</v>
      </c>
      <c r="H116" s="40">
        <f t="shared" si="7"/>
        <v>1187481</v>
      </c>
    </row>
    <row r="117" spans="2:8">
      <c r="B117" s="35">
        <v>7</v>
      </c>
      <c r="C117" s="5">
        <v>0</v>
      </c>
      <c r="D117" s="6">
        <v>0</v>
      </c>
      <c r="E117" s="6">
        <v>0</v>
      </c>
      <c r="F117" s="44">
        <f t="shared" si="7"/>
        <v>536363</v>
      </c>
      <c r="G117" s="40">
        <f t="shared" si="7"/>
        <v>795629</v>
      </c>
      <c r="H117" s="40">
        <f t="shared" si="7"/>
        <v>1256300</v>
      </c>
    </row>
    <row r="118" spans="2:8">
      <c r="B118" s="35">
        <v>8</v>
      </c>
      <c r="C118" s="5">
        <v>0</v>
      </c>
      <c r="D118" s="6">
        <v>0</v>
      </c>
      <c r="E118" s="6">
        <v>0</v>
      </c>
      <c r="F118" s="44">
        <f t="shared" si="7"/>
        <v>577352</v>
      </c>
      <c r="G118" s="40">
        <f t="shared" si="7"/>
        <v>791983</v>
      </c>
      <c r="H118" s="40">
        <f t="shared" si="7"/>
        <v>1016408</v>
      </c>
    </row>
    <row r="119" spans="2:8">
      <c r="B119" s="35">
        <v>9</v>
      </c>
      <c r="C119" s="5">
        <v>0</v>
      </c>
      <c r="D119" s="6">
        <v>0</v>
      </c>
      <c r="E119" s="6">
        <v>0</v>
      </c>
      <c r="F119" s="44">
        <f t="shared" si="7"/>
        <v>456884</v>
      </c>
      <c r="G119" s="40">
        <f t="shared" si="7"/>
        <v>744233</v>
      </c>
      <c r="H119" s="40">
        <f t="shared" si="7"/>
        <v>1027115</v>
      </c>
    </row>
    <row r="120" spans="2:8">
      <c r="B120" s="35">
        <v>10</v>
      </c>
      <c r="C120" s="5">
        <v>0</v>
      </c>
      <c r="D120" s="6">
        <v>0</v>
      </c>
      <c r="E120" s="6">
        <v>0</v>
      </c>
      <c r="F120" s="44">
        <f t="shared" si="7"/>
        <v>768157</v>
      </c>
      <c r="G120" s="40">
        <f t="shared" si="7"/>
        <v>1084721</v>
      </c>
      <c r="H120" s="40">
        <f t="shared" si="7"/>
        <v>1092823</v>
      </c>
    </row>
    <row r="121" spans="2:8">
      <c r="B121" s="35">
        <v>11</v>
      </c>
      <c r="C121" s="5">
        <v>0</v>
      </c>
      <c r="D121" s="6">
        <v>0</v>
      </c>
      <c r="E121" s="6">
        <v>0</v>
      </c>
      <c r="F121" s="44">
        <f t="shared" si="7"/>
        <v>729424</v>
      </c>
      <c r="G121" s="40">
        <f t="shared" si="7"/>
        <v>1235787</v>
      </c>
      <c r="H121" s="40">
        <f t="shared" si="7"/>
        <v>1431032</v>
      </c>
    </row>
    <row r="122" spans="2:8">
      <c r="B122" s="35">
        <v>12</v>
      </c>
      <c r="C122" s="5">
        <v>0</v>
      </c>
      <c r="D122" s="6">
        <v>0</v>
      </c>
      <c r="E122" s="6">
        <v>0</v>
      </c>
      <c r="F122" s="44">
        <f t="shared" si="7"/>
        <v>654811</v>
      </c>
      <c r="G122" s="40">
        <f t="shared" si="7"/>
        <v>1209566</v>
      </c>
      <c r="H122" s="40">
        <f t="shared" si="7"/>
        <v>1482168</v>
      </c>
    </row>
    <row r="123" spans="2:8" ht="17.25" thickBot="1">
      <c r="B123" s="38" t="s">
        <v>31</v>
      </c>
      <c r="C123" s="11">
        <f t="shared" ref="C123:H123" si="8">SUM(C111:C122)</f>
        <v>0</v>
      </c>
      <c r="D123" s="12">
        <f t="shared" si="8"/>
        <v>0</v>
      </c>
      <c r="E123" s="12">
        <f t="shared" si="8"/>
        <v>0</v>
      </c>
      <c r="F123" s="45">
        <f t="shared" si="8"/>
        <v>7412704</v>
      </c>
      <c r="G123" s="34">
        <f t="shared" si="8"/>
        <v>10903401</v>
      </c>
      <c r="H123" s="34">
        <f t="shared" si="8"/>
        <v>14101560</v>
      </c>
    </row>
  </sheetData>
  <mergeCells count="34">
    <mergeCell ref="B109:B110"/>
    <mergeCell ref="C109:E109"/>
    <mergeCell ref="F109:H109"/>
    <mergeCell ref="B79:B80"/>
    <mergeCell ref="C79:E79"/>
    <mergeCell ref="F79:H79"/>
    <mergeCell ref="I79:K79"/>
    <mergeCell ref="B94:B95"/>
    <mergeCell ref="C94:E94"/>
    <mergeCell ref="F94:H94"/>
    <mergeCell ref="I94:K94"/>
    <mergeCell ref="B48:B49"/>
    <mergeCell ref="C48:E48"/>
    <mergeCell ref="F48:H48"/>
    <mergeCell ref="I48:K48"/>
    <mergeCell ref="B63:K63"/>
    <mergeCell ref="B64:B65"/>
    <mergeCell ref="C64:E64"/>
    <mergeCell ref="F64:H64"/>
    <mergeCell ref="I64:K64"/>
    <mergeCell ref="B18:B19"/>
    <mergeCell ref="C18:E18"/>
    <mergeCell ref="F18:H18"/>
    <mergeCell ref="I18:K18"/>
    <mergeCell ref="B33:B34"/>
    <mergeCell ref="C33:E33"/>
    <mergeCell ref="F33:H33"/>
    <mergeCell ref="I33:K33"/>
    <mergeCell ref="B1:K1"/>
    <mergeCell ref="B2:K2"/>
    <mergeCell ref="B3:B4"/>
    <mergeCell ref="C3:E3"/>
    <mergeCell ref="F3:H3"/>
    <mergeCell ref="I3:K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7D3B-6633-450D-B774-1BCBC5A0800A}">
  <sheetPr>
    <tabColor theme="5" tint="0.79998168889431442"/>
  </sheetPr>
  <dimension ref="B1:K123"/>
  <sheetViews>
    <sheetView topLeftCell="A108" workbookViewId="0">
      <selection activeCell="I123" sqref="I123"/>
    </sheetView>
  </sheetViews>
  <sheetFormatPr defaultRowHeight="16.5"/>
  <cols>
    <col min="1" max="1" width="13.125" customWidth="1"/>
    <col min="2" max="2" width="12.625" style="13" customWidth="1"/>
    <col min="3" max="11" width="13.875" customWidth="1"/>
  </cols>
  <sheetData>
    <row r="1" spans="2:11" ht="21" thickBot="1">
      <c r="B1" s="72" t="s">
        <v>58</v>
      </c>
      <c r="C1" s="73"/>
      <c r="D1" s="73"/>
      <c r="E1" s="73"/>
      <c r="F1" s="73"/>
      <c r="G1" s="73"/>
      <c r="H1" s="73"/>
      <c r="I1" s="73"/>
      <c r="J1" s="73"/>
      <c r="K1" s="73"/>
    </row>
    <row r="2" spans="2:11" ht="18.75" customHeight="1" thickBot="1"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ht="18.75" customHeight="1">
      <c r="B3" s="78" t="s">
        <v>30</v>
      </c>
      <c r="C3" s="69" t="s">
        <v>2</v>
      </c>
      <c r="D3" s="68"/>
      <c r="E3" s="68"/>
      <c r="F3" s="69" t="s">
        <v>4</v>
      </c>
      <c r="G3" s="68"/>
      <c r="H3" s="68"/>
      <c r="I3" s="67" t="s">
        <v>11</v>
      </c>
      <c r="J3" s="68"/>
      <c r="K3" s="68"/>
    </row>
    <row r="4" spans="2:11" ht="18.75" customHeight="1">
      <c r="B4" s="70"/>
      <c r="C4" s="1">
        <v>2023</v>
      </c>
      <c r="D4" s="2">
        <v>2024</v>
      </c>
      <c r="E4" s="2">
        <v>2025</v>
      </c>
      <c r="F4" s="1">
        <v>2023</v>
      </c>
      <c r="G4" s="2">
        <v>2024</v>
      </c>
      <c r="H4" s="2">
        <v>2025</v>
      </c>
      <c r="I4" s="23">
        <v>2023</v>
      </c>
      <c r="J4" s="2">
        <v>2024</v>
      </c>
      <c r="K4" s="2">
        <v>2025</v>
      </c>
    </row>
    <row r="5" spans="2:11" ht="18.75" customHeight="1">
      <c r="B5" s="35">
        <v>1</v>
      </c>
      <c r="C5" s="5">
        <v>13571</v>
      </c>
      <c r="D5" s="6">
        <v>30843</v>
      </c>
      <c r="E5" s="6">
        <v>27601</v>
      </c>
      <c r="F5" s="5">
        <v>16380</v>
      </c>
      <c r="G5" s="6">
        <v>17887</v>
      </c>
      <c r="H5" s="6">
        <v>12723</v>
      </c>
      <c r="I5" s="24">
        <v>482</v>
      </c>
      <c r="J5" s="6">
        <v>3972</v>
      </c>
      <c r="K5" s="6">
        <v>4436</v>
      </c>
    </row>
    <row r="6" spans="2:11" ht="18.75" customHeight="1">
      <c r="B6" s="35">
        <v>2</v>
      </c>
      <c r="C6" s="5">
        <v>27305</v>
      </c>
      <c r="D6" s="6">
        <v>26116</v>
      </c>
      <c r="E6" s="6">
        <v>45691</v>
      </c>
      <c r="F6" s="5">
        <v>30046</v>
      </c>
      <c r="G6" s="6">
        <v>11327</v>
      </c>
      <c r="H6" s="6">
        <v>13833</v>
      </c>
      <c r="I6" s="24">
        <v>3529</v>
      </c>
      <c r="J6" s="6">
        <v>3664</v>
      </c>
      <c r="K6" s="6">
        <v>5188</v>
      </c>
    </row>
    <row r="7" spans="2:11" ht="18.75" customHeight="1">
      <c r="B7" s="35">
        <v>3</v>
      </c>
      <c r="C7" s="5">
        <v>35188</v>
      </c>
      <c r="D7" s="6">
        <v>37509</v>
      </c>
      <c r="E7" s="6">
        <v>51771</v>
      </c>
      <c r="F7" s="5">
        <v>32460</v>
      </c>
      <c r="G7" s="6">
        <v>14616</v>
      </c>
      <c r="H7" s="6">
        <v>15706</v>
      </c>
      <c r="I7" s="24">
        <v>3870</v>
      </c>
      <c r="J7" s="6">
        <v>4601</v>
      </c>
      <c r="K7" s="6">
        <v>5288</v>
      </c>
    </row>
    <row r="8" spans="2:11" ht="18.75" customHeight="1">
      <c r="B8" s="35">
        <v>4</v>
      </c>
      <c r="C8" s="5">
        <v>29488</v>
      </c>
      <c r="D8" s="6">
        <v>39923</v>
      </c>
      <c r="E8" s="6">
        <v>47137</v>
      </c>
      <c r="F8" s="5">
        <v>25494</v>
      </c>
      <c r="G8" s="6">
        <v>17396</v>
      </c>
      <c r="H8" s="6">
        <v>14948</v>
      </c>
      <c r="I8" s="24">
        <v>3334</v>
      </c>
      <c r="J8" s="6">
        <v>3601</v>
      </c>
      <c r="K8" s="6">
        <v>6755</v>
      </c>
    </row>
    <row r="9" spans="2:11" ht="18.75" customHeight="1">
      <c r="B9" s="35">
        <v>5</v>
      </c>
      <c r="C9" s="5">
        <v>29413</v>
      </c>
      <c r="D9" s="6">
        <v>40121</v>
      </c>
      <c r="E9" s="6">
        <v>53360</v>
      </c>
      <c r="F9" s="5">
        <v>29059</v>
      </c>
      <c r="G9" s="6">
        <v>24966</v>
      </c>
      <c r="H9" s="6">
        <v>26242</v>
      </c>
      <c r="I9" s="24">
        <v>4359</v>
      </c>
      <c r="J9" s="6">
        <v>5387</v>
      </c>
      <c r="K9" s="6">
        <v>5705</v>
      </c>
    </row>
    <row r="10" spans="2:11" ht="18.75" customHeight="1">
      <c r="B10" s="35">
        <v>6</v>
      </c>
      <c r="C10" s="5">
        <v>28181</v>
      </c>
      <c r="D10" s="6">
        <v>33003</v>
      </c>
      <c r="E10" s="6">
        <v>43942</v>
      </c>
      <c r="F10" s="5">
        <v>26899</v>
      </c>
      <c r="G10" s="6">
        <v>14343</v>
      </c>
      <c r="H10" s="6">
        <v>26460</v>
      </c>
      <c r="I10" s="24">
        <v>3195</v>
      </c>
      <c r="J10" s="6">
        <v>2870</v>
      </c>
      <c r="K10" s="6">
        <v>7549</v>
      </c>
    </row>
    <row r="11" spans="2:11" ht="18.75" customHeight="1">
      <c r="B11" s="35">
        <v>7</v>
      </c>
      <c r="C11" s="5">
        <v>24671</v>
      </c>
      <c r="D11" s="6">
        <v>26413</v>
      </c>
      <c r="E11" s="6">
        <v>42539</v>
      </c>
      <c r="F11" s="5">
        <v>18737</v>
      </c>
      <c r="G11" s="6">
        <v>10639</v>
      </c>
      <c r="H11" s="6">
        <v>13419</v>
      </c>
      <c r="I11" s="24">
        <v>2432</v>
      </c>
      <c r="J11" s="6">
        <v>3114</v>
      </c>
      <c r="K11" s="6">
        <v>8680</v>
      </c>
    </row>
    <row r="12" spans="2:11" ht="18.75" customHeight="1">
      <c r="B12" s="35">
        <v>8</v>
      </c>
      <c r="C12" s="5">
        <v>25467</v>
      </c>
      <c r="D12" s="6">
        <v>31169</v>
      </c>
      <c r="E12" s="6">
        <v>33844</v>
      </c>
      <c r="F12" s="5">
        <v>15656</v>
      </c>
      <c r="G12" s="6">
        <v>8547</v>
      </c>
      <c r="H12" s="6">
        <v>13891</v>
      </c>
      <c r="I12" s="24">
        <v>2421</v>
      </c>
      <c r="J12" s="6">
        <v>3055</v>
      </c>
      <c r="K12" s="6">
        <v>4320</v>
      </c>
    </row>
    <row r="13" spans="2:11" ht="18.75" customHeight="1">
      <c r="B13" s="35">
        <v>9</v>
      </c>
      <c r="C13" s="5">
        <v>15287</v>
      </c>
      <c r="D13" s="6">
        <v>18718</v>
      </c>
      <c r="E13" s="6">
        <v>30373</v>
      </c>
      <c r="F13" s="5">
        <v>14016</v>
      </c>
      <c r="G13" s="6">
        <v>10458</v>
      </c>
      <c r="H13" s="6">
        <v>10473</v>
      </c>
      <c r="I13" s="24">
        <v>1467</v>
      </c>
      <c r="J13" s="6">
        <v>3589</v>
      </c>
      <c r="K13" s="6">
        <v>4192</v>
      </c>
    </row>
    <row r="14" spans="2:11" ht="18.75" customHeight="1">
      <c r="B14" s="35">
        <v>10</v>
      </c>
      <c r="C14" s="5">
        <v>37981</v>
      </c>
      <c r="D14" s="6">
        <v>50382</v>
      </c>
      <c r="E14" s="6">
        <v>48584</v>
      </c>
      <c r="F14" s="5">
        <v>27840</v>
      </c>
      <c r="G14" s="6">
        <v>16412</v>
      </c>
      <c r="H14" s="6">
        <v>13403</v>
      </c>
      <c r="I14" s="24">
        <v>3359</v>
      </c>
      <c r="J14" s="6">
        <v>4400</v>
      </c>
      <c r="K14" s="6">
        <v>2569</v>
      </c>
    </row>
    <row r="15" spans="2:11" ht="18.75" customHeight="1">
      <c r="B15" s="35">
        <v>11</v>
      </c>
      <c r="C15" s="5">
        <v>35699</v>
      </c>
      <c r="D15" s="6">
        <v>45922</v>
      </c>
      <c r="E15" s="6">
        <v>68479</v>
      </c>
      <c r="F15" s="5">
        <v>29360</v>
      </c>
      <c r="G15" s="6">
        <v>16044</v>
      </c>
      <c r="H15" s="6">
        <v>18751</v>
      </c>
      <c r="I15" s="24">
        <v>3480</v>
      </c>
      <c r="J15" s="6">
        <v>6760</v>
      </c>
      <c r="K15" s="6">
        <v>4740</v>
      </c>
    </row>
    <row r="16" spans="2:11" ht="18.75" customHeight="1">
      <c r="B16" s="35">
        <v>12</v>
      </c>
      <c r="C16" s="5">
        <v>29445</v>
      </c>
      <c r="D16" s="6">
        <v>33208</v>
      </c>
      <c r="E16" s="6">
        <v>53882</v>
      </c>
      <c r="F16" s="5">
        <v>22195</v>
      </c>
      <c r="G16" s="6">
        <v>20998</v>
      </c>
      <c r="H16" s="6">
        <v>26832</v>
      </c>
      <c r="I16" s="24">
        <v>4007</v>
      </c>
      <c r="J16" s="6">
        <v>7099</v>
      </c>
      <c r="K16" s="6">
        <v>15744</v>
      </c>
    </row>
    <row r="17" spans="2:11" s="14" customFormat="1" ht="18.75" customHeight="1" thickBot="1">
      <c r="B17" s="35" t="s">
        <v>31</v>
      </c>
      <c r="C17" s="11">
        <f>SUM(C5:C16)</f>
        <v>331696</v>
      </c>
      <c r="D17" s="12">
        <f t="shared" ref="D17:K17" si="0">SUM(D5:D16)</f>
        <v>413327</v>
      </c>
      <c r="E17" s="36">
        <f t="shared" si="0"/>
        <v>547203</v>
      </c>
      <c r="F17" s="11">
        <f t="shared" si="0"/>
        <v>288142</v>
      </c>
      <c r="G17" s="12">
        <f t="shared" si="0"/>
        <v>183633</v>
      </c>
      <c r="H17" s="12">
        <f t="shared" si="0"/>
        <v>206681</v>
      </c>
      <c r="I17" s="37">
        <f t="shared" si="0"/>
        <v>35935</v>
      </c>
      <c r="J17" s="12">
        <f t="shared" si="0"/>
        <v>52112</v>
      </c>
      <c r="K17" s="12">
        <f t="shared" si="0"/>
        <v>75166</v>
      </c>
    </row>
    <row r="18" spans="2:11">
      <c r="B18" s="70" t="s">
        <v>30</v>
      </c>
      <c r="C18" s="69" t="s">
        <v>3</v>
      </c>
      <c r="D18" s="68"/>
      <c r="E18" s="68"/>
      <c r="F18" s="69" t="s">
        <v>13</v>
      </c>
      <c r="G18" s="68"/>
      <c r="H18" s="68"/>
      <c r="I18" s="67" t="s">
        <v>14</v>
      </c>
      <c r="J18" s="68"/>
      <c r="K18" s="68"/>
    </row>
    <row r="19" spans="2:11">
      <c r="B19" s="70"/>
      <c r="C19" s="1">
        <v>2023</v>
      </c>
      <c r="D19" s="2">
        <v>2024</v>
      </c>
      <c r="E19" s="2">
        <v>2025</v>
      </c>
      <c r="F19" s="1">
        <v>2023</v>
      </c>
      <c r="G19" s="2">
        <v>2024</v>
      </c>
      <c r="H19" s="2">
        <v>2025</v>
      </c>
      <c r="I19" s="23">
        <v>2023</v>
      </c>
      <c r="J19" s="2">
        <v>2024</v>
      </c>
      <c r="K19" s="2">
        <v>2025</v>
      </c>
    </row>
    <row r="20" spans="2:11">
      <c r="B20" s="35">
        <v>1</v>
      </c>
      <c r="C20" s="5">
        <v>1694</v>
      </c>
      <c r="D20" s="6">
        <v>7206</v>
      </c>
      <c r="E20" s="6">
        <v>5370</v>
      </c>
      <c r="F20" s="5">
        <v>399</v>
      </c>
      <c r="G20" s="6">
        <v>1208</v>
      </c>
      <c r="H20" s="6">
        <v>1666</v>
      </c>
      <c r="I20" s="24">
        <v>0</v>
      </c>
      <c r="J20" s="6">
        <v>458</v>
      </c>
      <c r="K20" s="6">
        <v>1114</v>
      </c>
    </row>
    <row r="21" spans="2:11">
      <c r="B21" s="35">
        <v>2</v>
      </c>
      <c r="C21" s="5">
        <v>8373</v>
      </c>
      <c r="D21" s="6">
        <v>7132</v>
      </c>
      <c r="E21" s="6">
        <v>4965</v>
      </c>
      <c r="F21" s="5">
        <v>373</v>
      </c>
      <c r="G21" s="6">
        <v>791</v>
      </c>
      <c r="H21" s="6">
        <v>3612</v>
      </c>
      <c r="I21" s="24">
        <v>256</v>
      </c>
      <c r="J21" s="6">
        <v>230</v>
      </c>
      <c r="K21" s="6">
        <v>1191</v>
      </c>
    </row>
    <row r="22" spans="2:11">
      <c r="B22" s="35">
        <v>3</v>
      </c>
      <c r="C22" s="5">
        <v>6657</v>
      </c>
      <c r="D22" s="6">
        <v>13858</v>
      </c>
      <c r="E22" s="6">
        <v>11707</v>
      </c>
      <c r="F22" s="5">
        <v>457</v>
      </c>
      <c r="G22" s="6">
        <v>387</v>
      </c>
      <c r="H22" s="6">
        <v>3105</v>
      </c>
      <c r="I22" s="24">
        <v>704</v>
      </c>
      <c r="J22" s="6">
        <v>688</v>
      </c>
      <c r="K22" s="6">
        <v>1055</v>
      </c>
    </row>
    <row r="23" spans="2:11">
      <c r="B23" s="35">
        <v>4</v>
      </c>
      <c r="C23" s="5">
        <v>9837</v>
      </c>
      <c r="D23" s="6">
        <v>11053</v>
      </c>
      <c r="E23" s="6">
        <v>12389</v>
      </c>
      <c r="F23" s="5">
        <v>1290</v>
      </c>
      <c r="G23" s="6">
        <v>2049</v>
      </c>
      <c r="H23" s="6">
        <v>3164</v>
      </c>
      <c r="I23" s="24">
        <v>315</v>
      </c>
      <c r="J23" s="6">
        <v>2816</v>
      </c>
      <c r="K23" s="6">
        <v>1392</v>
      </c>
    </row>
    <row r="24" spans="2:11">
      <c r="B24" s="35">
        <v>5</v>
      </c>
      <c r="C24" s="5">
        <v>15780</v>
      </c>
      <c r="D24" s="6">
        <v>17641</v>
      </c>
      <c r="E24" s="6">
        <v>6747</v>
      </c>
      <c r="F24" s="5">
        <v>42</v>
      </c>
      <c r="G24" s="6">
        <v>1767</v>
      </c>
      <c r="H24" s="6">
        <v>8328</v>
      </c>
      <c r="I24" s="24">
        <v>187</v>
      </c>
      <c r="J24" s="6">
        <v>763</v>
      </c>
      <c r="K24" s="6">
        <v>1837</v>
      </c>
    </row>
    <row r="25" spans="2:11">
      <c r="B25" s="35">
        <v>6</v>
      </c>
      <c r="C25" s="5">
        <v>11282</v>
      </c>
      <c r="D25" s="6">
        <v>12171</v>
      </c>
      <c r="E25" s="6">
        <v>11290</v>
      </c>
      <c r="F25" s="5">
        <v>41</v>
      </c>
      <c r="G25" s="6">
        <v>1469</v>
      </c>
      <c r="H25" s="6">
        <v>4103</v>
      </c>
      <c r="I25" s="24">
        <v>522</v>
      </c>
      <c r="J25" s="6">
        <v>709</v>
      </c>
      <c r="K25" s="6">
        <v>1262</v>
      </c>
    </row>
    <row r="26" spans="2:11">
      <c r="B26" s="35">
        <v>7</v>
      </c>
      <c r="C26" s="5">
        <v>6823</v>
      </c>
      <c r="D26" s="6">
        <v>6273</v>
      </c>
      <c r="E26" s="6">
        <v>8583</v>
      </c>
      <c r="F26" s="5">
        <v>10</v>
      </c>
      <c r="G26" s="6">
        <v>1841</v>
      </c>
      <c r="H26" s="6">
        <v>3677</v>
      </c>
      <c r="I26" s="24">
        <v>323</v>
      </c>
      <c r="J26" s="6">
        <v>558</v>
      </c>
      <c r="K26" s="6">
        <v>1258</v>
      </c>
    </row>
    <row r="27" spans="2:11">
      <c r="B27" s="35">
        <v>8</v>
      </c>
      <c r="C27" s="5">
        <v>7500</v>
      </c>
      <c r="D27" s="6">
        <v>6192</v>
      </c>
      <c r="E27" s="6">
        <v>5908</v>
      </c>
      <c r="F27" s="5">
        <v>0</v>
      </c>
      <c r="G27" s="6">
        <v>1485</v>
      </c>
      <c r="H27" s="6">
        <v>2217</v>
      </c>
      <c r="I27" s="24">
        <v>1014</v>
      </c>
      <c r="J27" s="6">
        <v>452</v>
      </c>
      <c r="K27" s="6">
        <v>1115</v>
      </c>
    </row>
    <row r="28" spans="2:11">
      <c r="B28" s="35">
        <v>9</v>
      </c>
      <c r="C28" s="5">
        <v>2769</v>
      </c>
      <c r="D28" s="6">
        <v>6500</v>
      </c>
      <c r="E28" s="6">
        <v>6713</v>
      </c>
      <c r="F28" s="5">
        <v>66</v>
      </c>
      <c r="G28" s="6">
        <v>1593</v>
      </c>
      <c r="H28" s="6">
        <v>1835</v>
      </c>
      <c r="I28" s="24">
        <v>306</v>
      </c>
      <c r="J28" s="6">
        <v>544</v>
      </c>
      <c r="K28" s="6">
        <v>1842</v>
      </c>
    </row>
    <row r="29" spans="2:11">
      <c r="B29" s="35">
        <v>10</v>
      </c>
      <c r="C29" s="5">
        <v>9164</v>
      </c>
      <c r="D29" s="6">
        <v>11038</v>
      </c>
      <c r="E29" s="6">
        <v>9829</v>
      </c>
      <c r="F29" s="5">
        <v>1544</v>
      </c>
      <c r="G29" s="6">
        <v>3767</v>
      </c>
      <c r="H29" s="6">
        <v>5792</v>
      </c>
      <c r="I29" s="24">
        <v>813</v>
      </c>
      <c r="J29" s="6">
        <v>3539</v>
      </c>
      <c r="K29" s="6">
        <v>2039</v>
      </c>
    </row>
    <row r="30" spans="2:11">
      <c r="B30" s="35">
        <v>11</v>
      </c>
      <c r="C30" s="5">
        <v>120371</v>
      </c>
      <c r="D30" s="6">
        <v>10008</v>
      </c>
      <c r="E30" s="6">
        <v>13933</v>
      </c>
      <c r="F30" s="5">
        <v>1567</v>
      </c>
      <c r="G30" s="6">
        <v>7890</v>
      </c>
      <c r="H30" s="6">
        <v>9897</v>
      </c>
      <c r="I30" s="24">
        <v>1275</v>
      </c>
      <c r="J30" s="6">
        <v>9629</v>
      </c>
      <c r="K30" s="6">
        <v>1643</v>
      </c>
    </row>
    <row r="31" spans="2:11">
      <c r="B31" s="35">
        <v>12</v>
      </c>
      <c r="C31" s="5">
        <v>10488</v>
      </c>
      <c r="D31" s="6">
        <v>18759</v>
      </c>
      <c r="E31" s="6">
        <v>21586</v>
      </c>
      <c r="F31" s="5">
        <v>1009</v>
      </c>
      <c r="G31" s="6">
        <v>3670</v>
      </c>
      <c r="H31" s="6">
        <v>5533</v>
      </c>
      <c r="I31" s="24">
        <v>477</v>
      </c>
      <c r="J31" s="6">
        <v>1504</v>
      </c>
      <c r="K31" s="6">
        <v>2078</v>
      </c>
    </row>
    <row r="32" spans="2:11" s="14" customFormat="1" ht="17.25" thickBot="1">
      <c r="B32" s="35" t="s">
        <v>31</v>
      </c>
      <c r="C32" s="11">
        <f t="shared" ref="C32:K32" si="1">SUM(C20:C31)</f>
        <v>210738</v>
      </c>
      <c r="D32" s="12">
        <f t="shared" si="1"/>
        <v>127831</v>
      </c>
      <c r="E32" s="36">
        <f t="shared" si="1"/>
        <v>119020</v>
      </c>
      <c r="F32" s="11">
        <f t="shared" si="1"/>
        <v>6798</v>
      </c>
      <c r="G32" s="12">
        <f t="shared" si="1"/>
        <v>27917</v>
      </c>
      <c r="H32" s="12">
        <f t="shared" si="1"/>
        <v>52929</v>
      </c>
      <c r="I32" s="37">
        <f t="shared" si="1"/>
        <v>6192</v>
      </c>
      <c r="J32" s="12">
        <f t="shared" si="1"/>
        <v>21890</v>
      </c>
      <c r="K32" s="12">
        <f t="shared" si="1"/>
        <v>17826</v>
      </c>
    </row>
    <row r="33" spans="2:11">
      <c r="B33" s="70" t="s">
        <v>30</v>
      </c>
      <c r="C33" s="69" t="s">
        <v>12</v>
      </c>
      <c r="D33" s="68"/>
      <c r="E33" s="68"/>
      <c r="F33" s="69" t="s">
        <v>15</v>
      </c>
      <c r="G33" s="68"/>
      <c r="H33" s="68"/>
      <c r="I33" s="67" t="s">
        <v>37</v>
      </c>
      <c r="J33" s="68"/>
      <c r="K33" s="68"/>
    </row>
    <row r="34" spans="2:11">
      <c r="B34" s="70"/>
      <c r="C34" s="1">
        <v>2023</v>
      </c>
      <c r="D34" s="2">
        <v>2024</v>
      </c>
      <c r="E34" s="2">
        <v>2025</v>
      </c>
      <c r="F34" s="1">
        <v>2023</v>
      </c>
      <c r="G34" s="2">
        <v>2024</v>
      </c>
      <c r="H34" s="2">
        <v>2025</v>
      </c>
      <c r="I34" s="23">
        <v>2023</v>
      </c>
      <c r="J34" s="2">
        <v>2024</v>
      </c>
      <c r="K34" s="2">
        <v>2025</v>
      </c>
    </row>
    <row r="35" spans="2:11">
      <c r="B35" s="35">
        <v>1</v>
      </c>
      <c r="C35" s="5">
        <v>0</v>
      </c>
      <c r="D35" s="6">
        <v>2489</v>
      </c>
      <c r="E35" s="6">
        <v>7410</v>
      </c>
      <c r="F35" s="5">
        <v>0</v>
      </c>
      <c r="G35" s="6">
        <v>957</v>
      </c>
      <c r="H35" s="6">
        <v>2258</v>
      </c>
      <c r="I35" s="24">
        <v>0</v>
      </c>
      <c r="J35" s="6">
        <v>549</v>
      </c>
      <c r="K35" s="6">
        <v>12122</v>
      </c>
    </row>
    <row r="36" spans="2:11">
      <c r="B36" s="35">
        <v>2</v>
      </c>
      <c r="C36" s="5">
        <v>0</v>
      </c>
      <c r="D36" s="6">
        <v>2726</v>
      </c>
      <c r="E36" s="6">
        <v>8969</v>
      </c>
      <c r="F36" s="5">
        <v>0</v>
      </c>
      <c r="G36" s="6">
        <v>472</v>
      </c>
      <c r="H36" s="6">
        <v>2673</v>
      </c>
      <c r="I36" s="24">
        <v>0</v>
      </c>
      <c r="J36" s="6">
        <v>632</v>
      </c>
      <c r="K36" s="6">
        <v>14169</v>
      </c>
    </row>
    <row r="37" spans="2:11">
      <c r="B37" s="35">
        <v>3</v>
      </c>
      <c r="C37" s="5">
        <v>0</v>
      </c>
      <c r="D37" s="6">
        <v>6017</v>
      </c>
      <c r="E37" s="6">
        <v>9642</v>
      </c>
      <c r="F37" s="5">
        <v>0</v>
      </c>
      <c r="G37" s="6">
        <v>505</v>
      </c>
      <c r="H37" s="6">
        <v>4064</v>
      </c>
      <c r="I37" s="24">
        <v>0</v>
      </c>
      <c r="J37" s="6">
        <v>1258</v>
      </c>
      <c r="K37" s="6">
        <v>19709</v>
      </c>
    </row>
    <row r="38" spans="2:11">
      <c r="B38" s="35">
        <v>4</v>
      </c>
      <c r="C38" s="5">
        <v>1678</v>
      </c>
      <c r="D38" s="6">
        <v>3978</v>
      </c>
      <c r="E38" s="6">
        <v>10056</v>
      </c>
      <c r="F38" s="5">
        <v>1048</v>
      </c>
      <c r="G38" s="6">
        <v>812</v>
      </c>
      <c r="H38" s="6">
        <v>5238</v>
      </c>
      <c r="I38" s="24">
        <v>0</v>
      </c>
      <c r="J38" s="6">
        <v>357</v>
      </c>
      <c r="K38" s="6">
        <v>21637</v>
      </c>
    </row>
    <row r="39" spans="2:11">
      <c r="B39" s="35">
        <v>5</v>
      </c>
      <c r="C39" s="5">
        <v>2342</v>
      </c>
      <c r="D39" s="6">
        <v>7008</v>
      </c>
      <c r="E39" s="6">
        <v>14053</v>
      </c>
      <c r="F39" s="5">
        <v>1460</v>
      </c>
      <c r="G39" s="6">
        <v>525</v>
      </c>
      <c r="H39" s="6">
        <v>5846</v>
      </c>
      <c r="I39" s="24">
        <v>0</v>
      </c>
      <c r="J39" s="6">
        <v>1750</v>
      </c>
      <c r="K39" s="6">
        <v>7600</v>
      </c>
    </row>
    <row r="40" spans="2:11">
      <c r="B40" s="35">
        <v>6</v>
      </c>
      <c r="C40" s="5">
        <v>2613</v>
      </c>
      <c r="D40" s="6">
        <v>4839</v>
      </c>
      <c r="E40" s="6">
        <v>14730</v>
      </c>
      <c r="F40" s="5">
        <v>812</v>
      </c>
      <c r="G40" s="6">
        <v>49</v>
      </c>
      <c r="H40" s="6">
        <v>3062</v>
      </c>
      <c r="I40" s="24">
        <v>0</v>
      </c>
      <c r="J40" s="6">
        <v>1823</v>
      </c>
      <c r="K40" s="6">
        <v>17092</v>
      </c>
    </row>
    <row r="41" spans="2:11">
      <c r="B41" s="35">
        <v>7</v>
      </c>
      <c r="C41" s="5">
        <v>1318</v>
      </c>
      <c r="D41" s="6">
        <v>4825</v>
      </c>
      <c r="E41" s="6">
        <v>10554</v>
      </c>
      <c r="F41" s="5">
        <v>1102</v>
      </c>
      <c r="G41" s="6">
        <v>753</v>
      </c>
      <c r="H41" s="6">
        <v>7121</v>
      </c>
      <c r="I41" s="24">
        <v>367</v>
      </c>
      <c r="J41" s="6">
        <v>8282</v>
      </c>
      <c r="K41" s="6">
        <v>20573</v>
      </c>
    </row>
    <row r="42" spans="2:11">
      <c r="B42" s="35">
        <v>8</v>
      </c>
      <c r="C42" s="5">
        <v>1863</v>
      </c>
      <c r="D42" s="6">
        <v>5036</v>
      </c>
      <c r="E42" s="6">
        <v>9107</v>
      </c>
      <c r="F42" s="5">
        <v>201</v>
      </c>
      <c r="G42" s="6">
        <v>3521</v>
      </c>
      <c r="H42" s="6">
        <v>3777</v>
      </c>
      <c r="I42" s="24">
        <v>248</v>
      </c>
      <c r="J42" s="6">
        <v>10059</v>
      </c>
      <c r="K42" s="6">
        <v>12301</v>
      </c>
    </row>
    <row r="43" spans="2:11">
      <c r="B43" s="35">
        <v>9</v>
      </c>
      <c r="C43" s="5">
        <v>1237</v>
      </c>
      <c r="D43" s="6">
        <v>5164</v>
      </c>
      <c r="E43" s="6">
        <v>5282</v>
      </c>
      <c r="F43" s="5">
        <v>106</v>
      </c>
      <c r="G43" s="6">
        <v>1089</v>
      </c>
      <c r="H43" s="6">
        <v>2761</v>
      </c>
      <c r="I43" s="24">
        <v>206</v>
      </c>
      <c r="J43" s="6">
        <v>9960</v>
      </c>
      <c r="K43" s="6">
        <v>12574</v>
      </c>
    </row>
    <row r="44" spans="2:11">
      <c r="B44" s="35">
        <v>10</v>
      </c>
      <c r="C44" s="5">
        <v>2351</v>
      </c>
      <c r="D44" s="6">
        <v>9430</v>
      </c>
      <c r="E44" s="6">
        <v>6015</v>
      </c>
      <c r="F44" s="5">
        <v>453</v>
      </c>
      <c r="G44" s="6">
        <v>1943</v>
      </c>
      <c r="H44" s="6">
        <v>134</v>
      </c>
      <c r="I44" s="24">
        <v>987</v>
      </c>
      <c r="J44" s="6">
        <v>9017</v>
      </c>
      <c r="K44" s="6">
        <v>12778</v>
      </c>
    </row>
    <row r="45" spans="2:11">
      <c r="B45" s="35">
        <v>11</v>
      </c>
      <c r="C45" s="5">
        <v>2809</v>
      </c>
      <c r="D45" s="6">
        <v>6372</v>
      </c>
      <c r="E45" s="6">
        <v>10833</v>
      </c>
      <c r="F45" s="5">
        <v>683</v>
      </c>
      <c r="G45" s="6">
        <v>4999</v>
      </c>
      <c r="H45" s="6">
        <v>9302</v>
      </c>
      <c r="I45" s="24">
        <v>1186</v>
      </c>
      <c r="J45" s="6">
        <v>19471</v>
      </c>
      <c r="K45" s="6">
        <v>22810</v>
      </c>
    </row>
    <row r="46" spans="2:11">
      <c r="B46" s="35">
        <v>12</v>
      </c>
      <c r="C46" s="5">
        <v>4336</v>
      </c>
      <c r="D46" s="6">
        <v>10959</v>
      </c>
      <c r="E46" s="6">
        <v>13601</v>
      </c>
      <c r="F46" s="5">
        <v>734</v>
      </c>
      <c r="G46" s="6">
        <v>4902</v>
      </c>
      <c r="H46" s="6">
        <v>12662</v>
      </c>
      <c r="I46" s="24">
        <v>1152</v>
      </c>
      <c r="J46" s="6">
        <v>20398</v>
      </c>
      <c r="K46" s="6">
        <v>33958</v>
      </c>
    </row>
    <row r="47" spans="2:11" s="14" customFormat="1" ht="17.25" thickBot="1">
      <c r="B47" s="35" t="s">
        <v>31</v>
      </c>
      <c r="C47" s="11">
        <f t="shared" ref="C47:K47" si="2">SUM(C35:C46)</f>
        <v>20547</v>
      </c>
      <c r="D47" s="12">
        <f t="shared" si="2"/>
        <v>68843</v>
      </c>
      <c r="E47" s="12">
        <f t="shared" si="2"/>
        <v>120252</v>
      </c>
      <c r="F47" s="11">
        <f>SUM(F35:F46)</f>
        <v>6599</v>
      </c>
      <c r="G47" s="12">
        <f t="shared" si="2"/>
        <v>20527</v>
      </c>
      <c r="H47" s="12">
        <f>SUM(H35:H46)</f>
        <v>58898</v>
      </c>
      <c r="I47" s="37">
        <f t="shared" si="2"/>
        <v>4146</v>
      </c>
      <c r="J47" s="12">
        <f t="shared" si="2"/>
        <v>83556</v>
      </c>
      <c r="K47" s="12">
        <f t="shared" si="2"/>
        <v>207323</v>
      </c>
    </row>
    <row r="48" spans="2:11">
      <c r="B48" s="70" t="s">
        <v>30</v>
      </c>
      <c r="C48" s="69" t="s">
        <v>16</v>
      </c>
      <c r="D48" s="68"/>
      <c r="E48" s="68"/>
      <c r="F48" s="69" t="s">
        <v>17</v>
      </c>
      <c r="G48" s="68"/>
      <c r="H48" s="68"/>
      <c r="I48" s="67" t="s">
        <v>18</v>
      </c>
      <c r="J48" s="68"/>
      <c r="K48" s="68"/>
    </row>
    <row r="49" spans="2:11">
      <c r="B49" s="70"/>
      <c r="C49" s="1">
        <v>2023</v>
      </c>
      <c r="D49" s="2">
        <v>2024</v>
      </c>
      <c r="E49" s="2">
        <v>2025</v>
      </c>
      <c r="F49" s="1">
        <v>2023</v>
      </c>
      <c r="G49" s="2">
        <v>2024</v>
      </c>
      <c r="H49" s="2">
        <v>2025</v>
      </c>
      <c r="I49" s="23">
        <v>2023</v>
      </c>
      <c r="J49" s="2">
        <v>2024</v>
      </c>
      <c r="K49" s="2">
        <v>2025</v>
      </c>
    </row>
    <row r="50" spans="2:11">
      <c r="B50" s="35">
        <v>1</v>
      </c>
      <c r="C50" s="5">
        <v>0</v>
      </c>
      <c r="D50" s="6">
        <v>0</v>
      </c>
      <c r="E50" s="6">
        <v>2902</v>
      </c>
      <c r="F50" s="5">
        <v>0</v>
      </c>
      <c r="G50" s="6">
        <v>0</v>
      </c>
      <c r="H50" s="6">
        <v>911</v>
      </c>
      <c r="I50" s="24">
        <v>0</v>
      </c>
      <c r="J50" s="6">
        <v>0</v>
      </c>
      <c r="K50" s="6">
        <v>0</v>
      </c>
    </row>
    <row r="51" spans="2:11">
      <c r="B51" s="35">
        <v>2</v>
      </c>
      <c r="C51" s="5">
        <v>0</v>
      </c>
      <c r="D51" s="6">
        <v>0</v>
      </c>
      <c r="E51" s="6">
        <v>3412</v>
      </c>
      <c r="F51" s="5">
        <v>0</v>
      </c>
      <c r="G51" s="6">
        <v>0</v>
      </c>
      <c r="H51" s="6">
        <v>2041</v>
      </c>
      <c r="I51" s="24">
        <v>0</v>
      </c>
      <c r="J51" s="6">
        <v>0</v>
      </c>
      <c r="K51" s="6">
        <v>0</v>
      </c>
    </row>
    <row r="52" spans="2:11">
      <c r="B52" s="35">
        <v>3</v>
      </c>
      <c r="C52" s="5">
        <v>0</v>
      </c>
      <c r="D52" s="6">
        <v>10</v>
      </c>
      <c r="E52" s="6">
        <v>4172</v>
      </c>
      <c r="F52" s="5">
        <v>0</v>
      </c>
      <c r="G52" s="6">
        <v>0</v>
      </c>
      <c r="H52" s="6">
        <v>2058</v>
      </c>
      <c r="I52" s="24">
        <v>0</v>
      </c>
      <c r="J52" s="6">
        <v>0</v>
      </c>
      <c r="K52" s="6">
        <v>0</v>
      </c>
    </row>
    <row r="53" spans="2:11">
      <c r="B53" s="35">
        <v>4</v>
      </c>
      <c r="C53" s="5">
        <v>0</v>
      </c>
      <c r="D53" s="6">
        <v>806</v>
      </c>
      <c r="E53" s="6">
        <v>3399</v>
      </c>
      <c r="F53" s="5">
        <v>0</v>
      </c>
      <c r="G53" s="6">
        <v>3</v>
      </c>
      <c r="H53" s="6">
        <v>2318</v>
      </c>
      <c r="I53" s="24">
        <v>0</v>
      </c>
      <c r="J53" s="6">
        <v>0</v>
      </c>
      <c r="K53" s="6">
        <v>0</v>
      </c>
    </row>
    <row r="54" spans="2:11">
      <c r="B54" s="35">
        <v>5</v>
      </c>
      <c r="C54" s="5">
        <v>0</v>
      </c>
      <c r="D54" s="6">
        <v>6044</v>
      </c>
      <c r="E54" s="6">
        <v>7440</v>
      </c>
      <c r="F54" s="5">
        <v>0</v>
      </c>
      <c r="G54" s="6">
        <v>0</v>
      </c>
      <c r="H54" s="6">
        <v>2392</v>
      </c>
      <c r="I54" s="24">
        <v>0</v>
      </c>
      <c r="J54" s="6">
        <v>0</v>
      </c>
      <c r="K54" s="6">
        <v>0</v>
      </c>
    </row>
    <row r="55" spans="2:11">
      <c r="B55" s="35">
        <v>6</v>
      </c>
      <c r="C55" s="5">
        <v>0</v>
      </c>
      <c r="D55" s="6">
        <v>4699</v>
      </c>
      <c r="E55" s="6">
        <v>10281</v>
      </c>
      <c r="F55" s="5">
        <v>0</v>
      </c>
      <c r="G55" s="6">
        <v>0</v>
      </c>
      <c r="H55" s="6">
        <v>1825</v>
      </c>
      <c r="I55" s="24">
        <v>0</v>
      </c>
      <c r="J55" s="6">
        <v>0</v>
      </c>
      <c r="K55" s="6">
        <v>0</v>
      </c>
    </row>
    <row r="56" spans="2:11">
      <c r="B56" s="35">
        <v>7</v>
      </c>
      <c r="C56" s="5">
        <v>0</v>
      </c>
      <c r="D56" s="6">
        <v>1324</v>
      </c>
      <c r="E56" s="6">
        <v>3864</v>
      </c>
      <c r="F56" s="5">
        <v>0</v>
      </c>
      <c r="G56" s="6">
        <v>0</v>
      </c>
      <c r="H56" s="6">
        <v>1227</v>
      </c>
      <c r="I56" s="24">
        <v>0</v>
      </c>
      <c r="J56" s="6">
        <v>0</v>
      </c>
      <c r="K56" s="6">
        <v>0</v>
      </c>
    </row>
    <row r="57" spans="2:11">
      <c r="B57" s="35">
        <v>8</v>
      </c>
      <c r="C57" s="5">
        <v>0</v>
      </c>
      <c r="D57" s="6">
        <v>1630</v>
      </c>
      <c r="E57" s="6">
        <v>2051</v>
      </c>
      <c r="F57" s="5">
        <v>0</v>
      </c>
      <c r="G57" s="6">
        <v>382</v>
      </c>
      <c r="H57" s="6">
        <v>1484</v>
      </c>
      <c r="I57" s="24">
        <v>0</v>
      </c>
      <c r="J57" s="6">
        <v>0</v>
      </c>
      <c r="K57" s="6">
        <v>17</v>
      </c>
    </row>
    <row r="58" spans="2:11">
      <c r="B58" s="35">
        <v>9</v>
      </c>
      <c r="C58" s="5">
        <v>0</v>
      </c>
      <c r="D58" s="6">
        <v>1137</v>
      </c>
      <c r="E58" s="6">
        <v>2265</v>
      </c>
      <c r="F58" s="5">
        <v>0</v>
      </c>
      <c r="G58" s="6">
        <v>0</v>
      </c>
      <c r="H58" s="6">
        <v>1378</v>
      </c>
      <c r="I58" s="24">
        <v>0</v>
      </c>
      <c r="J58" s="6">
        <v>0</v>
      </c>
      <c r="K58" s="6">
        <v>0</v>
      </c>
    </row>
    <row r="59" spans="2:11">
      <c r="B59" s="35">
        <v>10</v>
      </c>
      <c r="C59" s="5">
        <v>0</v>
      </c>
      <c r="D59" s="6">
        <v>4542</v>
      </c>
      <c r="E59" s="6">
        <v>5055</v>
      </c>
      <c r="F59" s="5">
        <v>0</v>
      </c>
      <c r="G59" s="6">
        <v>409</v>
      </c>
      <c r="H59" s="6">
        <v>2116</v>
      </c>
      <c r="I59" s="24">
        <v>0</v>
      </c>
      <c r="J59" s="6">
        <v>0</v>
      </c>
      <c r="K59" s="6">
        <v>0</v>
      </c>
    </row>
    <row r="60" spans="2:11">
      <c r="B60" s="35">
        <v>11</v>
      </c>
      <c r="C60" s="5">
        <v>0</v>
      </c>
      <c r="D60" s="6">
        <v>4303</v>
      </c>
      <c r="E60" s="6">
        <v>6041</v>
      </c>
      <c r="F60" s="5">
        <v>0</v>
      </c>
      <c r="G60" s="6">
        <v>1749</v>
      </c>
      <c r="H60" s="6">
        <v>4067</v>
      </c>
      <c r="I60" s="24">
        <v>0</v>
      </c>
      <c r="J60" s="6">
        <v>0</v>
      </c>
      <c r="K60" s="6">
        <v>197</v>
      </c>
    </row>
    <row r="61" spans="2:11">
      <c r="B61" s="35">
        <v>12</v>
      </c>
      <c r="C61" s="5">
        <v>0</v>
      </c>
      <c r="D61" s="6">
        <v>5389</v>
      </c>
      <c r="E61" s="6">
        <v>6374</v>
      </c>
      <c r="F61" s="5">
        <v>0</v>
      </c>
      <c r="G61" s="6">
        <v>2258</v>
      </c>
      <c r="H61" s="6">
        <v>3454</v>
      </c>
      <c r="I61" s="24">
        <v>0</v>
      </c>
      <c r="J61" s="6">
        <v>0</v>
      </c>
      <c r="K61" s="6">
        <v>822</v>
      </c>
    </row>
    <row r="62" spans="2:11" s="14" customFormat="1" ht="17.25" thickBot="1">
      <c r="B62" s="35" t="s">
        <v>31</v>
      </c>
      <c r="C62" s="12">
        <f t="shared" ref="C62:K62" si="3">SUM(C50:C61)</f>
        <v>0</v>
      </c>
      <c r="D62" s="12">
        <f t="shared" si="3"/>
        <v>29884</v>
      </c>
      <c r="E62" s="12">
        <f t="shared" si="3"/>
        <v>57256</v>
      </c>
      <c r="F62" s="11">
        <f t="shared" si="3"/>
        <v>0</v>
      </c>
      <c r="G62" s="12">
        <f t="shared" si="3"/>
        <v>4801</v>
      </c>
      <c r="H62" s="12">
        <f t="shared" si="3"/>
        <v>25271</v>
      </c>
      <c r="I62" s="37">
        <f t="shared" si="3"/>
        <v>0</v>
      </c>
      <c r="J62" s="12">
        <f t="shared" si="3"/>
        <v>0</v>
      </c>
      <c r="K62" s="12">
        <f t="shared" si="3"/>
        <v>1036</v>
      </c>
    </row>
    <row r="63" spans="2:11" ht="21" thickBot="1">
      <c r="B63" s="76" t="s">
        <v>19</v>
      </c>
      <c r="C63" s="77"/>
      <c r="D63" s="77"/>
      <c r="E63" s="77"/>
      <c r="F63" s="77"/>
      <c r="G63" s="77"/>
      <c r="H63" s="77"/>
      <c r="I63" s="77"/>
      <c r="J63" s="77"/>
      <c r="K63" s="77"/>
    </row>
    <row r="64" spans="2:11">
      <c r="B64" s="70" t="s">
        <v>30</v>
      </c>
      <c r="C64" s="69" t="s">
        <v>21</v>
      </c>
      <c r="D64" s="68"/>
      <c r="E64" s="68"/>
      <c r="F64" s="69" t="s">
        <v>23</v>
      </c>
      <c r="G64" s="68"/>
      <c r="H64" s="68"/>
      <c r="I64" s="67" t="s">
        <v>20</v>
      </c>
      <c r="J64" s="68"/>
      <c r="K64" s="68"/>
    </row>
    <row r="65" spans="2:11">
      <c r="B65" s="70"/>
      <c r="C65" s="1">
        <v>2023</v>
      </c>
      <c r="D65" s="2">
        <v>2024</v>
      </c>
      <c r="E65" s="2">
        <v>2025</v>
      </c>
      <c r="F65" s="1">
        <v>2023</v>
      </c>
      <c r="G65" s="2">
        <v>2024</v>
      </c>
      <c r="H65" s="2">
        <v>2025</v>
      </c>
      <c r="I65" s="23">
        <v>2023</v>
      </c>
      <c r="J65" s="2">
        <v>2024</v>
      </c>
      <c r="K65" s="2">
        <v>2025</v>
      </c>
    </row>
    <row r="66" spans="2:11">
      <c r="B66" s="35">
        <v>1</v>
      </c>
      <c r="C66" s="5">
        <v>3656</v>
      </c>
      <c r="D66" s="6">
        <v>12164</v>
      </c>
      <c r="E66" s="6">
        <v>6018</v>
      </c>
      <c r="F66" s="5">
        <v>4279</v>
      </c>
      <c r="G66" s="6">
        <v>18946</v>
      </c>
      <c r="H66" s="6">
        <v>29713</v>
      </c>
      <c r="I66" s="24">
        <v>8031</v>
      </c>
      <c r="J66" s="6">
        <v>35239</v>
      </c>
      <c r="K66" s="6">
        <v>32759</v>
      </c>
    </row>
    <row r="67" spans="2:11">
      <c r="B67" s="35">
        <v>2</v>
      </c>
      <c r="C67" s="5">
        <v>13340</v>
      </c>
      <c r="D67" s="6">
        <v>17203</v>
      </c>
      <c r="E67" s="6">
        <v>3239</v>
      </c>
      <c r="F67" s="5">
        <v>23976</v>
      </c>
      <c r="G67" s="6">
        <v>17420</v>
      </c>
      <c r="H67" s="6">
        <v>39996</v>
      </c>
      <c r="I67" s="24">
        <v>41836</v>
      </c>
      <c r="J67" s="6">
        <v>19143</v>
      </c>
      <c r="K67" s="6">
        <v>47781</v>
      </c>
    </row>
    <row r="68" spans="2:11">
      <c r="B68" s="35">
        <v>3</v>
      </c>
      <c r="C68" s="5">
        <v>14496</v>
      </c>
      <c r="D68" s="6">
        <v>15557</v>
      </c>
      <c r="E68" s="6">
        <v>15054</v>
      </c>
      <c r="F68" s="5">
        <v>25176</v>
      </c>
      <c r="G68" s="6">
        <v>28563</v>
      </c>
      <c r="H68" s="6">
        <v>38034</v>
      </c>
      <c r="I68" s="24">
        <v>49437</v>
      </c>
      <c r="J68" s="6">
        <v>41017</v>
      </c>
      <c r="K68" s="6">
        <v>41244</v>
      </c>
    </row>
    <row r="69" spans="2:11">
      <c r="B69" s="35">
        <v>4</v>
      </c>
      <c r="C69" s="5">
        <v>12147</v>
      </c>
      <c r="D69" s="6">
        <v>14856</v>
      </c>
      <c r="E69" s="6">
        <v>16754</v>
      </c>
      <c r="F69" s="5">
        <v>19941</v>
      </c>
      <c r="G69" s="6">
        <v>30122</v>
      </c>
      <c r="H69" s="6">
        <v>38217</v>
      </c>
      <c r="I69" s="24">
        <v>35191</v>
      </c>
      <c r="J69" s="6">
        <v>43485</v>
      </c>
      <c r="K69" s="6">
        <v>51452</v>
      </c>
    </row>
    <row r="70" spans="2:11">
      <c r="B70" s="35">
        <v>5</v>
      </c>
      <c r="C70" s="5">
        <v>3533</v>
      </c>
      <c r="D70" s="6">
        <v>4016</v>
      </c>
      <c r="E70" s="6">
        <v>9903</v>
      </c>
      <c r="F70" s="5">
        <v>19486</v>
      </c>
      <c r="G70" s="6">
        <v>37409</v>
      </c>
      <c r="H70" s="6">
        <v>38396</v>
      </c>
      <c r="I70" s="24">
        <v>36384</v>
      </c>
      <c r="J70" s="6">
        <v>46205</v>
      </c>
      <c r="K70" s="6">
        <v>51509</v>
      </c>
    </row>
    <row r="71" spans="2:11">
      <c r="B71" s="35">
        <v>6</v>
      </c>
      <c r="C71" s="5">
        <v>17590</v>
      </c>
      <c r="D71" s="6">
        <v>9246</v>
      </c>
      <c r="E71" s="6">
        <v>13404</v>
      </c>
      <c r="F71" s="5">
        <v>18372</v>
      </c>
      <c r="G71" s="6">
        <v>26956</v>
      </c>
      <c r="H71" s="6">
        <v>38495</v>
      </c>
      <c r="I71" s="24">
        <v>45333</v>
      </c>
      <c r="J71" s="6">
        <v>32220</v>
      </c>
      <c r="K71" s="6">
        <v>44701</v>
      </c>
    </row>
    <row r="72" spans="2:11">
      <c r="B72" s="35">
        <v>7</v>
      </c>
      <c r="C72" s="5">
        <v>14012</v>
      </c>
      <c r="D72" s="6">
        <v>5756</v>
      </c>
      <c r="E72" s="6">
        <v>8794</v>
      </c>
      <c r="F72" s="5">
        <v>12738</v>
      </c>
      <c r="G72" s="6">
        <v>25012</v>
      </c>
      <c r="H72" s="6">
        <v>35507</v>
      </c>
      <c r="I72" s="24">
        <v>32119</v>
      </c>
      <c r="J72" s="6">
        <v>31367</v>
      </c>
      <c r="K72" s="6">
        <v>41921</v>
      </c>
    </row>
    <row r="73" spans="2:11">
      <c r="B73" s="35">
        <v>8</v>
      </c>
      <c r="C73" s="5">
        <v>9708</v>
      </c>
      <c r="D73" s="6">
        <v>6091</v>
      </c>
      <c r="E73" s="6">
        <v>8335</v>
      </c>
      <c r="F73" s="5">
        <v>15102</v>
      </c>
      <c r="G73" s="6">
        <v>22396</v>
      </c>
      <c r="H73" s="6">
        <v>27260</v>
      </c>
      <c r="I73" s="24">
        <v>28213</v>
      </c>
      <c r="J73" s="6">
        <v>38155</v>
      </c>
      <c r="K73" s="6">
        <v>28875</v>
      </c>
    </row>
    <row r="74" spans="2:11">
      <c r="B74" s="35">
        <v>9</v>
      </c>
      <c r="C74" s="5">
        <v>12873</v>
      </c>
      <c r="D74" s="6">
        <v>5595</v>
      </c>
      <c r="E74" s="6">
        <v>8006</v>
      </c>
      <c r="F74" s="5">
        <v>10202</v>
      </c>
      <c r="G74" s="6">
        <v>19549</v>
      </c>
      <c r="H74" s="6">
        <v>23119</v>
      </c>
      <c r="I74" s="24">
        <v>24628</v>
      </c>
      <c r="J74" s="6">
        <v>21610</v>
      </c>
      <c r="K74" s="6">
        <v>31331</v>
      </c>
    </row>
    <row r="75" spans="2:11">
      <c r="B75" s="35">
        <v>10</v>
      </c>
      <c r="C75" s="5">
        <v>3096</v>
      </c>
      <c r="D75" s="6">
        <v>12358</v>
      </c>
      <c r="E75" s="6">
        <v>0</v>
      </c>
      <c r="F75" s="5">
        <v>20633</v>
      </c>
      <c r="G75" s="6">
        <v>38074</v>
      </c>
      <c r="H75" s="6">
        <v>18624</v>
      </c>
      <c r="I75" s="24">
        <v>28636</v>
      </c>
      <c r="J75" s="6">
        <v>42559</v>
      </c>
      <c r="K75" s="6">
        <v>31747</v>
      </c>
    </row>
    <row r="76" spans="2:11">
      <c r="B76" s="35">
        <v>11</v>
      </c>
      <c r="C76" s="5">
        <v>25911</v>
      </c>
      <c r="D76" s="6">
        <v>12486</v>
      </c>
      <c r="E76" s="6">
        <v>11580</v>
      </c>
      <c r="F76" s="5">
        <v>19960</v>
      </c>
      <c r="G76" s="6">
        <v>41017</v>
      </c>
      <c r="H76" s="6">
        <v>24828</v>
      </c>
      <c r="I76" s="24">
        <v>52396</v>
      </c>
      <c r="J76" s="6">
        <v>43752</v>
      </c>
      <c r="K76" s="6">
        <v>53165</v>
      </c>
    </row>
    <row r="77" spans="2:11">
      <c r="B77" s="35">
        <v>12</v>
      </c>
      <c r="C77" s="5">
        <v>20375</v>
      </c>
      <c r="D77" s="6">
        <v>11228</v>
      </c>
      <c r="E77" s="6">
        <v>38545</v>
      </c>
      <c r="F77" s="5">
        <v>18121</v>
      </c>
      <c r="G77" s="6">
        <v>32792</v>
      </c>
      <c r="H77" s="6">
        <v>38748</v>
      </c>
      <c r="I77" s="24">
        <v>38944</v>
      </c>
      <c r="J77" s="6">
        <v>53087</v>
      </c>
      <c r="K77" s="6">
        <v>54918</v>
      </c>
    </row>
    <row r="78" spans="2:11" s="14" customFormat="1" ht="17.25" thickBot="1">
      <c r="B78" s="35" t="s">
        <v>31</v>
      </c>
      <c r="C78" s="11">
        <f t="shared" ref="C78:K78" si="4">SUM(C66:C77)</f>
        <v>150737</v>
      </c>
      <c r="D78" s="12">
        <f t="shared" si="4"/>
        <v>126556</v>
      </c>
      <c r="E78" s="12">
        <f t="shared" si="4"/>
        <v>139632</v>
      </c>
      <c r="F78" s="11">
        <f t="shared" si="4"/>
        <v>207986</v>
      </c>
      <c r="G78" s="12">
        <f t="shared" si="4"/>
        <v>338256</v>
      </c>
      <c r="H78" s="12">
        <f t="shared" si="4"/>
        <v>390937</v>
      </c>
      <c r="I78" s="37">
        <f t="shared" si="4"/>
        <v>421148</v>
      </c>
      <c r="J78" s="12">
        <f t="shared" si="4"/>
        <v>447839</v>
      </c>
      <c r="K78" s="12">
        <f t="shared" si="4"/>
        <v>511403</v>
      </c>
    </row>
    <row r="79" spans="2:11">
      <c r="B79" s="70" t="s">
        <v>30</v>
      </c>
      <c r="C79" s="69" t="s">
        <v>24</v>
      </c>
      <c r="D79" s="68"/>
      <c r="E79" s="68"/>
      <c r="F79" s="69" t="s">
        <v>22</v>
      </c>
      <c r="G79" s="68"/>
      <c r="H79" s="68"/>
      <c r="I79" s="67" t="s">
        <v>25</v>
      </c>
      <c r="J79" s="68"/>
      <c r="K79" s="68"/>
    </row>
    <row r="80" spans="2:11">
      <c r="B80" s="70"/>
      <c r="C80" s="1">
        <v>2023</v>
      </c>
      <c r="D80" s="2">
        <v>2024</v>
      </c>
      <c r="E80" s="2">
        <v>2025</v>
      </c>
      <c r="F80" s="1">
        <v>2023</v>
      </c>
      <c r="G80" s="2">
        <v>2024</v>
      </c>
      <c r="H80" s="2">
        <v>2025</v>
      </c>
      <c r="I80" s="23">
        <v>2023</v>
      </c>
      <c r="J80" s="2">
        <v>2024</v>
      </c>
      <c r="K80" s="2">
        <v>2025</v>
      </c>
    </row>
    <row r="81" spans="2:11">
      <c r="B81" s="35">
        <v>1</v>
      </c>
      <c r="C81" s="5">
        <v>137</v>
      </c>
      <c r="D81" s="6">
        <v>62</v>
      </c>
      <c r="E81" s="6">
        <v>135</v>
      </c>
      <c r="F81" s="5">
        <v>0</v>
      </c>
      <c r="G81" s="6">
        <v>13037</v>
      </c>
      <c r="H81" s="6">
        <v>36216</v>
      </c>
      <c r="I81" s="24">
        <v>0</v>
      </c>
      <c r="J81" s="6">
        <v>0</v>
      </c>
      <c r="K81" s="6">
        <v>47</v>
      </c>
    </row>
    <row r="82" spans="2:11">
      <c r="B82" s="35">
        <v>2</v>
      </c>
      <c r="C82" s="5">
        <v>316</v>
      </c>
      <c r="D82" s="6">
        <v>0</v>
      </c>
      <c r="E82" s="6">
        <v>156</v>
      </c>
      <c r="F82" s="5">
        <v>0</v>
      </c>
      <c r="G82" s="6">
        <v>16422</v>
      </c>
      <c r="H82" s="6">
        <v>43475</v>
      </c>
      <c r="I82" s="24">
        <v>0</v>
      </c>
      <c r="J82" s="6">
        <v>0</v>
      </c>
      <c r="K82" s="6">
        <v>2508</v>
      </c>
    </row>
    <row r="83" spans="2:11">
      <c r="B83" s="35">
        <v>3</v>
      </c>
      <c r="C83" s="5">
        <v>116</v>
      </c>
      <c r="D83" s="6">
        <v>8</v>
      </c>
      <c r="E83" s="6">
        <v>0</v>
      </c>
      <c r="F83" s="5">
        <v>0</v>
      </c>
      <c r="G83" s="6">
        <v>19583</v>
      </c>
      <c r="H83" s="6">
        <v>39114</v>
      </c>
      <c r="I83" s="24">
        <v>0</v>
      </c>
      <c r="J83" s="6">
        <v>627</v>
      </c>
      <c r="K83" s="6">
        <v>13145</v>
      </c>
    </row>
    <row r="84" spans="2:11">
      <c r="B84" s="35">
        <v>4</v>
      </c>
      <c r="C84" s="5">
        <v>475</v>
      </c>
      <c r="D84" s="6">
        <v>5590</v>
      </c>
      <c r="E84" s="6">
        <v>3800</v>
      </c>
      <c r="F84" s="5">
        <v>0</v>
      </c>
      <c r="G84" s="6">
        <v>21292</v>
      </c>
      <c r="H84" s="6">
        <v>48047</v>
      </c>
      <c r="I84" s="24">
        <v>0</v>
      </c>
      <c r="J84" s="6">
        <v>10253</v>
      </c>
      <c r="K84" s="6">
        <v>25341</v>
      </c>
    </row>
    <row r="85" spans="2:11">
      <c r="B85" s="35">
        <v>5</v>
      </c>
      <c r="C85" s="5">
        <v>166</v>
      </c>
      <c r="D85" s="6">
        <v>325</v>
      </c>
      <c r="E85" s="6">
        <v>880</v>
      </c>
      <c r="F85" s="5">
        <v>0</v>
      </c>
      <c r="G85" s="6">
        <v>26718</v>
      </c>
      <c r="H85" s="6">
        <v>53443</v>
      </c>
      <c r="I85" s="24">
        <v>0</v>
      </c>
      <c r="J85" s="6">
        <v>2402</v>
      </c>
      <c r="K85" s="6">
        <v>12197</v>
      </c>
    </row>
    <row r="86" spans="2:11">
      <c r="B86" s="35">
        <v>6</v>
      </c>
      <c r="C86" s="5">
        <v>262</v>
      </c>
      <c r="D86" s="6">
        <v>53</v>
      </c>
      <c r="E86" s="6">
        <v>90</v>
      </c>
      <c r="F86" s="5">
        <v>0</v>
      </c>
      <c r="G86" s="6">
        <v>22254</v>
      </c>
      <c r="H86" s="6">
        <v>41428</v>
      </c>
      <c r="I86" s="24">
        <v>0</v>
      </c>
      <c r="J86" s="6">
        <v>10995</v>
      </c>
      <c r="K86" s="6">
        <v>11805</v>
      </c>
    </row>
    <row r="87" spans="2:11">
      <c r="B87" s="35">
        <v>7</v>
      </c>
      <c r="C87" s="5">
        <v>324</v>
      </c>
      <c r="D87" s="6">
        <v>0</v>
      </c>
      <c r="E87" s="6">
        <v>0</v>
      </c>
      <c r="F87" s="5">
        <v>0</v>
      </c>
      <c r="G87" s="6">
        <v>28095</v>
      </c>
      <c r="H87" s="6">
        <v>29788</v>
      </c>
      <c r="I87" s="24">
        <v>0</v>
      </c>
      <c r="J87" s="6">
        <v>6220</v>
      </c>
      <c r="K87" s="6">
        <v>16437</v>
      </c>
    </row>
    <row r="88" spans="2:11">
      <c r="B88" s="35">
        <v>8</v>
      </c>
      <c r="C88" s="5">
        <v>0</v>
      </c>
      <c r="D88" s="6">
        <v>61</v>
      </c>
      <c r="E88" s="6">
        <v>247</v>
      </c>
      <c r="F88" s="5">
        <v>0</v>
      </c>
      <c r="G88" s="6">
        <v>27103</v>
      </c>
      <c r="H88" s="6">
        <v>40199</v>
      </c>
      <c r="I88" s="24">
        <v>0</v>
      </c>
      <c r="J88" s="6">
        <v>13163</v>
      </c>
      <c r="K88" s="6">
        <v>2486</v>
      </c>
    </row>
    <row r="89" spans="2:11">
      <c r="B89" s="35">
        <v>9</v>
      </c>
      <c r="C89" s="5">
        <v>51</v>
      </c>
      <c r="D89" s="6">
        <v>87</v>
      </c>
      <c r="E89" s="6">
        <v>1599</v>
      </c>
      <c r="F89" s="5">
        <v>0</v>
      </c>
      <c r="G89" s="6">
        <v>27511</v>
      </c>
      <c r="H89" s="6">
        <v>30317</v>
      </c>
      <c r="I89" s="24">
        <v>0</v>
      </c>
      <c r="J89" s="6">
        <v>2506</v>
      </c>
      <c r="K89" s="6">
        <v>5200</v>
      </c>
    </row>
    <row r="90" spans="2:11">
      <c r="B90" s="35">
        <v>10</v>
      </c>
      <c r="C90" s="5">
        <v>0</v>
      </c>
      <c r="D90" s="6">
        <v>0</v>
      </c>
      <c r="E90" s="6">
        <v>681</v>
      </c>
      <c r="F90" s="5">
        <v>0</v>
      </c>
      <c r="G90" s="6">
        <v>37934</v>
      </c>
      <c r="H90" s="6">
        <v>45168</v>
      </c>
      <c r="I90" s="24">
        <v>0</v>
      </c>
      <c r="J90" s="6">
        <v>17484</v>
      </c>
      <c r="K90" s="6">
        <v>11086</v>
      </c>
    </row>
    <row r="91" spans="2:11">
      <c r="B91" s="35">
        <v>11</v>
      </c>
      <c r="C91" s="5">
        <v>0</v>
      </c>
      <c r="D91" s="6">
        <v>76</v>
      </c>
      <c r="E91" s="6">
        <v>5351</v>
      </c>
      <c r="F91" s="5">
        <v>734</v>
      </c>
      <c r="G91" s="6">
        <v>39369</v>
      </c>
      <c r="H91" s="6">
        <v>59691</v>
      </c>
      <c r="I91" s="24">
        <v>0</v>
      </c>
      <c r="J91" s="6">
        <v>8724</v>
      </c>
      <c r="K91" s="6">
        <v>20721</v>
      </c>
    </row>
    <row r="92" spans="2:11">
      <c r="B92" s="35">
        <v>12</v>
      </c>
      <c r="C92" s="5">
        <v>0</v>
      </c>
      <c r="D92" s="6">
        <v>382</v>
      </c>
      <c r="E92" s="6">
        <v>3485</v>
      </c>
      <c r="F92" s="5">
        <v>1274</v>
      </c>
      <c r="G92" s="6">
        <v>50422</v>
      </c>
      <c r="H92" s="6">
        <v>55774</v>
      </c>
      <c r="I92" s="24">
        <v>0</v>
      </c>
      <c r="J92" s="6">
        <v>24902</v>
      </c>
      <c r="K92" s="6">
        <v>30390</v>
      </c>
    </row>
    <row r="93" spans="2:11" s="14" customFormat="1" ht="17.25" thickBot="1">
      <c r="B93" s="35" t="s">
        <v>31</v>
      </c>
      <c r="C93" s="11">
        <f t="shared" ref="C93:K93" si="5">SUM(C81:C92)</f>
        <v>1847</v>
      </c>
      <c r="D93" s="12">
        <f t="shared" si="5"/>
        <v>6644</v>
      </c>
      <c r="E93" s="12">
        <f t="shared" si="5"/>
        <v>16424</v>
      </c>
      <c r="F93" s="11">
        <f t="shared" si="5"/>
        <v>2008</v>
      </c>
      <c r="G93" s="12">
        <f t="shared" si="5"/>
        <v>329740</v>
      </c>
      <c r="H93" s="12">
        <f t="shared" si="5"/>
        <v>522660</v>
      </c>
      <c r="I93" s="37">
        <f t="shared" si="5"/>
        <v>0</v>
      </c>
      <c r="J93" s="12">
        <f t="shared" si="5"/>
        <v>97276</v>
      </c>
      <c r="K93" s="12">
        <f t="shared" si="5"/>
        <v>151363</v>
      </c>
    </row>
    <row r="94" spans="2:11">
      <c r="B94" s="70" t="s">
        <v>30</v>
      </c>
      <c r="C94" s="69" t="s">
        <v>26</v>
      </c>
      <c r="D94" s="68"/>
      <c r="E94" s="68"/>
      <c r="F94" s="69" t="s">
        <v>27</v>
      </c>
      <c r="G94" s="68"/>
      <c r="H94" s="68"/>
      <c r="I94" s="67" t="s">
        <v>28</v>
      </c>
      <c r="J94" s="68"/>
      <c r="K94" s="68"/>
    </row>
    <row r="95" spans="2:11">
      <c r="B95" s="70"/>
      <c r="C95" s="1">
        <v>2023</v>
      </c>
      <c r="D95" s="2">
        <v>2024</v>
      </c>
      <c r="E95" s="2">
        <v>2025</v>
      </c>
      <c r="F95" s="1">
        <v>2023</v>
      </c>
      <c r="G95" s="2">
        <v>2024</v>
      </c>
      <c r="H95" s="2">
        <v>2025</v>
      </c>
      <c r="I95" s="23">
        <v>2023</v>
      </c>
      <c r="J95" s="2">
        <v>2024</v>
      </c>
      <c r="K95" s="2">
        <v>2025</v>
      </c>
    </row>
    <row r="96" spans="2:11">
      <c r="B96" s="35">
        <v>1</v>
      </c>
      <c r="C96" s="5">
        <v>0</v>
      </c>
      <c r="D96" s="6">
        <v>0</v>
      </c>
      <c r="E96" s="6">
        <v>3507</v>
      </c>
      <c r="F96" s="5">
        <v>0</v>
      </c>
      <c r="G96" s="6">
        <v>0</v>
      </c>
      <c r="H96" s="6">
        <v>0</v>
      </c>
      <c r="I96" s="24">
        <v>0</v>
      </c>
      <c r="J96" s="6">
        <v>0</v>
      </c>
      <c r="K96" s="6">
        <v>0</v>
      </c>
    </row>
    <row r="97" spans="2:11">
      <c r="B97" s="35">
        <v>2</v>
      </c>
      <c r="C97" s="5">
        <v>0</v>
      </c>
      <c r="D97" s="6">
        <v>0</v>
      </c>
      <c r="E97" s="6">
        <v>2940</v>
      </c>
      <c r="F97" s="5">
        <v>0</v>
      </c>
      <c r="G97" s="6">
        <v>0</v>
      </c>
      <c r="H97" s="6">
        <v>0</v>
      </c>
      <c r="I97" s="24">
        <v>0</v>
      </c>
      <c r="J97" s="6">
        <v>0</v>
      </c>
      <c r="K97" s="6">
        <v>0</v>
      </c>
    </row>
    <row r="98" spans="2:11">
      <c r="B98" s="35">
        <v>3</v>
      </c>
      <c r="C98" s="5">
        <v>0</v>
      </c>
      <c r="D98" s="6">
        <v>0</v>
      </c>
      <c r="E98" s="6">
        <v>2498</v>
      </c>
      <c r="F98" s="5">
        <v>0</v>
      </c>
      <c r="G98" s="6">
        <v>0</v>
      </c>
      <c r="H98" s="6">
        <v>0</v>
      </c>
      <c r="I98" s="24">
        <v>0</v>
      </c>
      <c r="J98" s="6">
        <v>0</v>
      </c>
      <c r="K98" s="6">
        <v>0</v>
      </c>
    </row>
    <row r="99" spans="2:11">
      <c r="B99" s="35">
        <v>4</v>
      </c>
      <c r="C99" s="5">
        <v>0</v>
      </c>
      <c r="D99" s="6">
        <v>0</v>
      </c>
      <c r="E99" s="6">
        <v>3760</v>
      </c>
      <c r="F99" s="5">
        <v>0</v>
      </c>
      <c r="G99" s="6">
        <v>0</v>
      </c>
      <c r="H99" s="6">
        <v>113</v>
      </c>
      <c r="I99" s="24">
        <v>0</v>
      </c>
      <c r="J99" s="6">
        <v>0</v>
      </c>
      <c r="K99" s="6">
        <v>0</v>
      </c>
    </row>
    <row r="100" spans="2:11">
      <c r="B100" s="35">
        <v>5</v>
      </c>
      <c r="C100" s="5">
        <v>0</v>
      </c>
      <c r="D100" s="6">
        <v>0</v>
      </c>
      <c r="E100" s="6">
        <v>4464</v>
      </c>
      <c r="F100" s="5">
        <v>0</v>
      </c>
      <c r="G100" s="6">
        <v>0</v>
      </c>
      <c r="H100" s="6">
        <v>1452</v>
      </c>
      <c r="I100" s="24">
        <v>0</v>
      </c>
      <c r="J100" s="6">
        <v>0</v>
      </c>
      <c r="K100" s="6">
        <v>0</v>
      </c>
    </row>
    <row r="101" spans="2:11">
      <c r="B101" s="35">
        <v>6</v>
      </c>
      <c r="C101" s="5">
        <v>0</v>
      </c>
      <c r="D101" s="6">
        <v>0</v>
      </c>
      <c r="E101" s="6">
        <v>3649</v>
      </c>
      <c r="F101" s="5">
        <v>0</v>
      </c>
      <c r="G101" s="6">
        <v>0</v>
      </c>
      <c r="H101" s="6">
        <v>2224</v>
      </c>
      <c r="I101" s="24">
        <v>0</v>
      </c>
      <c r="J101" s="6">
        <v>0</v>
      </c>
      <c r="K101" s="6">
        <v>0</v>
      </c>
    </row>
    <row r="102" spans="2:11">
      <c r="B102" s="35">
        <v>7</v>
      </c>
      <c r="C102" s="5">
        <v>0</v>
      </c>
      <c r="D102" s="6">
        <v>0</v>
      </c>
      <c r="E102" s="6">
        <v>4652</v>
      </c>
      <c r="F102" s="5">
        <v>0</v>
      </c>
      <c r="G102" s="6">
        <v>0</v>
      </c>
      <c r="H102" s="6">
        <v>1313</v>
      </c>
      <c r="I102" s="24">
        <v>0</v>
      </c>
      <c r="J102" s="6">
        <v>0</v>
      </c>
      <c r="K102" s="6">
        <v>0</v>
      </c>
    </row>
    <row r="103" spans="2:11">
      <c r="B103" s="35">
        <v>8</v>
      </c>
      <c r="C103" s="5">
        <v>0</v>
      </c>
      <c r="D103" s="6">
        <v>0</v>
      </c>
      <c r="E103" s="6">
        <v>3300</v>
      </c>
      <c r="F103" s="5">
        <v>0</v>
      </c>
      <c r="G103" s="6">
        <v>0</v>
      </c>
      <c r="H103" s="6">
        <v>763</v>
      </c>
      <c r="I103" s="24">
        <v>0</v>
      </c>
      <c r="J103" s="6">
        <v>0</v>
      </c>
      <c r="K103" s="6">
        <v>0</v>
      </c>
    </row>
    <row r="104" spans="2:11">
      <c r="B104" s="35">
        <v>9</v>
      </c>
      <c r="C104" s="5">
        <v>0</v>
      </c>
      <c r="D104" s="6">
        <v>0</v>
      </c>
      <c r="E104" s="6">
        <v>2713</v>
      </c>
      <c r="F104" s="5">
        <v>0</v>
      </c>
      <c r="G104" s="6">
        <v>0</v>
      </c>
      <c r="H104" s="6">
        <v>865</v>
      </c>
      <c r="I104" s="24">
        <v>0</v>
      </c>
      <c r="J104" s="6">
        <v>0</v>
      </c>
      <c r="K104" s="6">
        <v>0</v>
      </c>
    </row>
    <row r="105" spans="2:11">
      <c r="B105" s="35">
        <v>10</v>
      </c>
      <c r="C105" s="5">
        <v>0</v>
      </c>
      <c r="D105" s="6">
        <v>1046</v>
      </c>
      <c r="E105" s="6">
        <v>2916</v>
      </c>
      <c r="F105" s="5">
        <v>0</v>
      </c>
      <c r="G105" s="6">
        <v>0</v>
      </c>
      <c r="H105" s="6">
        <v>1043</v>
      </c>
      <c r="I105" s="24">
        <v>0</v>
      </c>
      <c r="J105" s="6">
        <v>0</v>
      </c>
      <c r="K105" s="6">
        <v>6749</v>
      </c>
    </row>
    <row r="106" spans="2:11">
      <c r="B106" s="35">
        <v>11</v>
      </c>
      <c r="C106" s="5">
        <v>0</v>
      </c>
      <c r="D106" s="6">
        <v>2154</v>
      </c>
      <c r="E106" s="6">
        <v>3302</v>
      </c>
      <c r="F106" s="5">
        <v>0</v>
      </c>
      <c r="G106" s="6">
        <v>0</v>
      </c>
      <c r="H106" s="6">
        <v>3395</v>
      </c>
      <c r="I106" s="24">
        <v>0</v>
      </c>
      <c r="J106" s="6">
        <v>0</v>
      </c>
      <c r="K106" s="6">
        <v>11142</v>
      </c>
    </row>
    <row r="107" spans="2:11">
      <c r="B107" s="35">
        <v>12</v>
      </c>
      <c r="C107" s="5">
        <v>0</v>
      </c>
      <c r="D107" s="6">
        <v>3362</v>
      </c>
      <c r="E107" s="6">
        <v>7949</v>
      </c>
      <c r="F107" s="5">
        <v>0</v>
      </c>
      <c r="G107" s="6">
        <v>0</v>
      </c>
      <c r="H107" s="6">
        <v>4420</v>
      </c>
      <c r="I107" s="24">
        <v>0</v>
      </c>
      <c r="J107" s="6">
        <v>0</v>
      </c>
      <c r="K107" s="6">
        <v>11568</v>
      </c>
    </row>
    <row r="108" spans="2:11" s="14" customFormat="1" ht="17.25" thickBot="1">
      <c r="B108" s="38" t="s">
        <v>31</v>
      </c>
      <c r="C108" s="11">
        <f t="shared" ref="C108:K108" si="6">SUM(C96:C107)</f>
        <v>0</v>
      </c>
      <c r="D108" s="12">
        <f t="shared" si="6"/>
        <v>6562</v>
      </c>
      <c r="E108" s="12">
        <f t="shared" si="6"/>
        <v>45650</v>
      </c>
      <c r="F108" s="11">
        <f t="shared" si="6"/>
        <v>0</v>
      </c>
      <c r="G108" s="12">
        <f t="shared" si="6"/>
        <v>0</v>
      </c>
      <c r="H108" s="12">
        <f t="shared" si="6"/>
        <v>15588</v>
      </c>
      <c r="I108" s="37">
        <f t="shared" si="6"/>
        <v>0</v>
      </c>
      <c r="J108" s="12">
        <f t="shared" si="6"/>
        <v>0</v>
      </c>
      <c r="K108" s="12">
        <f t="shared" si="6"/>
        <v>29459</v>
      </c>
    </row>
    <row r="109" spans="2:11">
      <c r="B109" s="71" t="s">
        <v>30</v>
      </c>
      <c r="C109" s="69" t="s">
        <v>47</v>
      </c>
      <c r="D109" s="68"/>
      <c r="E109" s="68"/>
      <c r="F109" s="65" t="s">
        <v>61</v>
      </c>
      <c r="G109" s="66"/>
      <c r="H109" s="66"/>
    </row>
    <row r="110" spans="2:11">
      <c r="B110" s="70"/>
      <c r="C110" s="1">
        <v>2023</v>
      </c>
      <c r="D110" s="2">
        <v>2024</v>
      </c>
      <c r="E110" s="2">
        <v>2025</v>
      </c>
      <c r="F110" s="43">
        <v>2023</v>
      </c>
      <c r="G110" s="39">
        <v>2024</v>
      </c>
      <c r="H110" s="39">
        <v>2025</v>
      </c>
    </row>
    <row r="111" spans="2:11">
      <c r="B111" s="35">
        <v>1</v>
      </c>
      <c r="C111" s="5">
        <v>0</v>
      </c>
      <c r="D111" s="6">
        <v>0</v>
      </c>
      <c r="E111" s="6">
        <v>0</v>
      </c>
      <c r="F111" s="44">
        <f t="shared" ref="F111:H122" si="7">C5+F5+I5+C20+F20+C35+I20+F35+I35+C50+F50+I50+C66+F66+I66+C81+F81+I81+C96+F96+I96+C111</f>
        <v>48629</v>
      </c>
      <c r="G111" s="40">
        <f t="shared" si="7"/>
        <v>145017</v>
      </c>
      <c r="H111" s="40">
        <f t="shared" si="7"/>
        <v>186908</v>
      </c>
    </row>
    <row r="112" spans="2:11">
      <c r="B112" s="35">
        <v>2</v>
      </c>
      <c r="C112" s="5">
        <v>0</v>
      </c>
      <c r="D112" s="6">
        <v>0</v>
      </c>
      <c r="E112" s="6">
        <v>0</v>
      </c>
      <c r="F112" s="44">
        <f t="shared" si="7"/>
        <v>149350</v>
      </c>
      <c r="G112" s="40">
        <f t="shared" si="7"/>
        <v>123278</v>
      </c>
      <c r="H112" s="40">
        <f t="shared" si="7"/>
        <v>245839</v>
      </c>
    </row>
    <row r="113" spans="2:8">
      <c r="B113" s="35">
        <v>3</v>
      </c>
      <c r="C113" s="5">
        <v>0</v>
      </c>
      <c r="D113" s="6">
        <v>0</v>
      </c>
      <c r="E113" s="6">
        <v>0</v>
      </c>
      <c r="F113" s="44">
        <f t="shared" si="7"/>
        <v>168561</v>
      </c>
      <c r="G113" s="40">
        <f t="shared" si="7"/>
        <v>184804</v>
      </c>
      <c r="H113" s="40">
        <f t="shared" si="7"/>
        <v>277366</v>
      </c>
    </row>
    <row r="114" spans="2:8">
      <c r="B114" s="35">
        <v>4</v>
      </c>
      <c r="C114" s="5">
        <v>0</v>
      </c>
      <c r="D114" s="6">
        <v>0</v>
      </c>
      <c r="E114" s="6">
        <v>0</v>
      </c>
      <c r="F114" s="44">
        <f t="shared" si="7"/>
        <v>140238</v>
      </c>
      <c r="G114" s="40">
        <f t="shared" si="7"/>
        <v>208392</v>
      </c>
      <c r="H114" s="40">
        <f t="shared" si="7"/>
        <v>315917</v>
      </c>
    </row>
    <row r="115" spans="2:8">
      <c r="B115" s="35">
        <v>5</v>
      </c>
      <c r="C115" s="5">
        <v>0</v>
      </c>
      <c r="D115" s="6">
        <v>0</v>
      </c>
      <c r="E115" s="6">
        <v>0</v>
      </c>
      <c r="F115" s="44">
        <f t="shared" si="7"/>
        <v>142211</v>
      </c>
      <c r="G115" s="40">
        <f t="shared" si="7"/>
        <v>223047</v>
      </c>
      <c r="H115" s="40">
        <f t="shared" si="7"/>
        <v>311794</v>
      </c>
    </row>
    <row r="116" spans="2:8">
      <c r="B116" s="35">
        <v>6</v>
      </c>
      <c r="C116" s="5">
        <v>0</v>
      </c>
      <c r="D116" s="6">
        <v>0</v>
      </c>
      <c r="E116" s="6">
        <v>0</v>
      </c>
      <c r="F116" s="44">
        <f t="shared" si="7"/>
        <v>155102</v>
      </c>
      <c r="G116" s="40">
        <f t="shared" si="7"/>
        <v>177699</v>
      </c>
      <c r="H116" s="40">
        <f t="shared" si="7"/>
        <v>297392</v>
      </c>
    </row>
    <row r="117" spans="2:8">
      <c r="B117" s="35">
        <v>7</v>
      </c>
      <c r="C117" s="5">
        <v>0</v>
      </c>
      <c r="D117" s="6">
        <v>0</v>
      </c>
      <c r="E117" s="6">
        <v>0</v>
      </c>
      <c r="F117" s="44">
        <f t="shared" si="7"/>
        <v>114976</v>
      </c>
      <c r="G117" s="40">
        <f t="shared" si="7"/>
        <v>160472</v>
      </c>
      <c r="H117" s="40">
        <f>E11+H11+K11+E26+H26+E41+K26+H41+K41+E56+H56+K56+E72+H72+K72+E87+H87+K87+E102+H102+K102+E117</f>
        <v>259907</v>
      </c>
    </row>
    <row r="118" spans="2:8">
      <c r="B118" s="35">
        <v>8</v>
      </c>
      <c r="C118" s="5">
        <v>0</v>
      </c>
      <c r="D118" s="6">
        <v>0</v>
      </c>
      <c r="E118" s="6">
        <v>0</v>
      </c>
      <c r="F118" s="44">
        <f t="shared" si="7"/>
        <v>107393</v>
      </c>
      <c r="G118" s="40">
        <f t="shared" si="7"/>
        <v>178497</v>
      </c>
      <c r="H118" s="40">
        <f>E12+H12+K12+E27+H27+E42+K27+H42+K42+E57+H57+K57+E73+H73+K73+E88+H88+K88+E103+H103+K103+E118</f>
        <v>201497</v>
      </c>
    </row>
    <row r="119" spans="2:8">
      <c r="B119" s="35">
        <v>9</v>
      </c>
      <c r="C119" s="5">
        <v>0</v>
      </c>
      <c r="D119" s="6">
        <v>0</v>
      </c>
      <c r="E119" s="6">
        <v>0</v>
      </c>
      <c r="F119" s="44">
        <f t="shared" si="7"/>
        <v>83214</v>
      </c>
      <c r="G119" s="40">
        <f t="shared" si="7"/>
        <v>135610</v>
      </c>
      <c r="H119" s="40">
        <f>E13+H13+K13+E28+H28+E43+K28+H43+K43+E58+H58+K58+E74+H74+K74+E89+H89+K89+E104+H104+K104+E119</f>
        <v>182838</v>
      </c>
    </row>
    <row r="120" spans="2:8">
      <c r="B120" s="35">
        <v>10</v>
      </c>
      <c r="C120" s="5">
        <v>0</v>
      </c>
      <c r="D120" s="6">
        <v>0</v>
      </c>
      <c r="E120" s="6">
        <v>0</v>
      </c>
      <c r="F120" s="44">
        <f t="shared" si="7"/>
        <v>136857</v>
      </c>
      <c r="G120" s="40">
        <f t="shared" si="7"/>
        <v>264334</v>
      </c>
      <c r="H120" s="40">
        <f>E14+H14+K14+E29+H29+E44+K29+H44+K44+E59+H59+K59+E75+H75+K75+E90+H90+K90+E105+H105+K105+E120</f>
        <v>226328</v>
      </c>
    </row>
    <row r="121" spans="2:8">
      <c r="B121" s="35">
        <v>11</v>
      </c>
      <c r="C121" s="5">
        <v>0</v>
      </c>
      <c r="D121" s="6">
        <v>0</v>
      </c>
      <c r="E121" s="6">
        <v>0</v>
      </c>
      <c r="F121" s="44">
        <f t="shared" si="7"/>
        <v>295431</v>
      </c>
      <c r="G121" s="40">
        <f t="shared" si="7"/>
        <v>280725</v>
      </c>
      <c r="H121" s="40">
        <f>E15+H15+K15+E30+H30+E45+K30+H45+K45+E60+H60+K60+E76+H76+K76+E91+H91+K91+E106+H106+K106+E121</f>
        <v>363868</v>
      </c>
    </row>
    <row r="122" spans="2:8">
      <c r="B122" s="35">
        <v>12</v>
      </c>
      <c r="C122" s="5">
        <v>0</v>
      </c>
      <c r="D122" s="6">
        <v>0</v>
      </c>
      <c r="E122" s="6">
        <v>0</v>
      </c>
      <c r="F122" s="44">
        <f t="shared" si="7"/>
        <v>152557</v>
      </c>
      <c r="G122" s="40">
        <f t="shared" si="7"/>
        <v>305319</v>
      </c>
      <c r="H122" s="40">
        <f>E16+H16+K16+E31+H31+E46+K31+H46+K46+E61+H61+K61+E77+H77+K77+E92+H92+K92+E107+H107+K107+E122</f>
        <v>442323</v>
      </c>
    </row>
    <row r="123" spans="2:8" ht="17.25" thickBot="1">
      <c r="B123" s="38" t="s">
        <v>31</v>
      </c>
      <c r="C123" s="11">
        <f t="shared" ref="C123:H123" si="8">SUM(C111:C122)</f>
        <v>0</v>
      </c>
      <c r="D123" s="12">
        <f t="shared" si="8"/>
        <v>0</v>
      </c>
      <c r="E123" s="12">
        <f t="shared" si="8"/>
        <v>0</v>
      </c>
      <c r="F123" s="45">
        <f t="shared" si="8"/>
        <v>1694519</v>
      </c>
      <c r="G123" s="34">
        <f t="shared" si="8"/>
        <v>2387194</v>
      </c>
      <c r="H123" s="34">
        <f t="shared" si="8"/>
        <v>3311977</v>
      </c>
    </row>
  </sheetData>
  <mergeCells count="34">
    <mergeCell ref="B109:B110"/>
    <mergeCell ref="C109:E109"/>
    <mergeCell ref="F109:H109"/>
    <mergeCell ref="B79:B80"/>
    <mergeCell ref="C79:E79"/>
    <mergeCell ref="F79:H79"/>
    <mergeCell ref="I79:K79"/>
    <mergeCell ref="B94:B95"/>
    <mergeCell ref="C94:E94"/>
    <mergeCell ref="F94:H94"/>
    <mergeCell ref="I94:K94"/>
    <mergeCell ref="B48:B49"/>
    <mergeCell ref="C48:E48"/>
    <mergeCell ref="F48:H48"/>
    <mergeCell ref="I48:K48"/>
    <mergeCell ref="B63:K63"/>
    <mergeCell ref="B64:B65"/>
    <mergeCell ref="C64:E64"/>
    <mergeCell ref="F64:H64"/>
    <mergeCell ref="I64:K64"/>
    <mergeCell ref="B18:B19"/>
    <mergeCell ref="C18:E18"/>
    <mergeCell ref="F18:H18"/>
    <mergeCell ref="I18:K18"/>
    <mergeCell ref="B33:B34"/>
    <mergeCell ref="C33:E33"/>
    <mergeCell ref="F33:H33"/>
    <mergeCell ref="I33:K33"/>
    <mergeCell ref="B1:K1"/>
    <mergeCell ref="B2:K2"/>
    <mergeCell ref="B3:B4"/>
    <mergeCell ref="C3:E3"/>
    <mergeCell ref="F3:H3"/>
    <mergeCell ref="I3:K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E586-8010-455E-9402-9DB3FA3FC613}">
  <sheetPr>
    <tabColor theme="5" tint="0.79998168889431442"/>
  </sheetPr>
  <dimension ref="B1:K123"/>
  <sheetViews>
    <sheetView workbookViewId="0">
      <selection activeCell="G115" sqref="G115"/>
    </sheetView>
  </sheetViews>
  <sheetFormatPr defaultRowHeight="16.5"/>
  <cols>
    <col min="1" max="1" width="13.125" customWidth="1"/>
    <col min="2" max="2" width="12.625" style="13" customWidth="1"/>
    <col min="3" max="11" width="13.875" customWidth="1"/>
  </cols>
  <sheetData>
    <row r="1" spans="2:11" ht="21" thickBot="1">
      <c r="B1" s="72" t="s">
        <v>59</v>
      </c>
      <c r="C1" s="73"/>
      <c r="D1" s="73"/>
      <c r="E1" s="73"/>
      <c r="F1" s="73"/>
      <c r="G1" s="73"/>
      <c r="H1" s="73"/>
      <c r="I1" s="73"/>
      <c r="J1" s="73"/>
      <c r="K1" s="73"/>
    </row>
    <row r="2" spans="2:11" ht="18.75" customHeight="1" thickBot="1"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ht="18.75" customHeight="1">
      <c r="B3" s="78" t="s">
        <v>30</v>
      </c>
      <c r="C3" s="69" t="s">
        <v>2</v>
      </c>
      <c r="D3" s="68"/>
      <c r="E3" s="68"/>
      <c r="F3" s="69" t="s">
        <v>4</v>
      </c>
      <c r="G3" s="68"/>
      <c r="H3" s="68"/>
      <c r="I3" s="67" t="s">
        <v>11</v>
      </c>
      <c r="J3" s="68"/>
      <c r="K3" s="68"/>
    </row>
    <row r="4" spans="2:11" ht="18.75" customHeight="1">
      <c r="B4" s="70"/>
      <c r="C4" s="1">
        <v>2023</v>
      </c>
      <c r="D4" s="2">
        <v>2024</v>
      </c>
      <c r="E4" s="2">
        <v>2025</v>
      </c>
      <c r="F4" s="1">
        <v>2023</v>
      </c>
      <c r="G4" s="2">
        <v>2024</v>
      </c>
      <c r="H4" s="2">
        <v>2025</v>
      </c>
      <c r="I4" s="23">
        <v>2023</v>
      </c>
      <c r="J4" s="2">
        <v>2024</v>
      </c>
      <c r="K4" s="2">
        <v>2025</v>
      </c>
    </row>
    <row r="5" spans="2:11" ht="18.75" customHeight="1">
      <c r="B5" s="35">
        <v>1</v>
      </c>
      <c r="C5" s="5">
        <v>137</v>
      </c>
      <c r="D5" s="6">
        <v>843</v>
      </c>
      <c r="E5" s="6">
        <v>1020</v>
      </c>
      <c r="F5" s="5">
        <v>118</v>
      </c>
      <c r="G5" s="6">
        <v>878</v>
      </c>
      <c r="H5" s="6">
        <v>1486</v>
      </c>
      <c r="I5" s="24">
        <v>231</v>
      </c>
      <c r="J5" s="6">
        <v>2403</v>
      </c>
      <c r="K5" s="6">
        <v>1339</v>
      </c>
    </row>
    <row r="6" spans="2:11" ht="18.75" customHeight="1">
      <c r="B6" s="35">
        <v>2</v>
      </c>
      <c r="C6" s="5">
        <v>93</v>
      </c>
      <c r="D6" s="6">
        <v>0</v>
      </c>
      <c r="E6" s="6">
        <v>0</v>
      </c>
      <c r="F6" s="5">
        <v>0</v>
      </c>
      <c r="G6" s="6">
        <v>1119</v>
      </c>
      <c r="H6" s="6">
        <v>948</v>
      </c>
      <c r="I6" s="24">
        <v>863</v>
      </c>
      <c r="J6" s="6">
        <v>822</v>
      </c>
      <c r="K6" s="6">
        <v>879</v>
      </c>
    </row>
    <row r="7" spans="2:11" ht="18.75" customHeight="1">
      <c r="B7" s="35">
        <v>3</v>
      </c>
      <c r="C7" s="5">
        <v>626</v>
      </c>
      <c r="D7" s="6">
        <v>22</v>
      </c>
      <c r="E7" s="6">
        <v>374</v>
      </c>
      <c r="F7" s="5">
        <v>674</v>
      </c>
      <c r="G7" s="6">
        <v>4786</v>
      </c>
      <c r="H7" s="6">
        <v>1531</v>
      </c>
      <c r="I7" s="24">
        <v>323</v>
      </c>
      <c r="J7" s="6">
        <v>8733</v>
      </c>
      <c r="K7" s="6">
        <v>2516</v>
      </c>
    </row>
    <row r="8" spans="2:11" ht="18.75" customHeight="1">
      <c r="B8" s="35">
        <v>4</v>
      </c>
      <c r="C8" s="5">
        <v>2229</v>
      </c>
      <c r="D8" s="6">
        <v>5063</v>
      </c>
      <c r="E8" s="6">
        <v>45</v>
      </c>
      <c r="F8" s="5">
        <v>4773</v>
      </c>
      <c r="G8" s="6">
        <v>6219</v>
      </c>
      <c r="H8" s="6">
        <v>7164</v>
      </c>
      <c r="I8" s="24">
        <v>12768</v>
      </c>
      <c r="J8" s="6">
        <v>7041</v>
      </c>
      <c r="K8" s="6">
        <v>5143</v>
      </c>
    </row>
    <row r="9" spans="2:11" ht="18.75" customHeight="1">
      <c r="B9" s="35">
        <v>5</v>
      </c>
      <c r="C9" s="5">
        <v>19365</v>
      </c>
      <c r="D9" s="6">
        <v>17645</v>
      </c>
      <c r="E9" s="6">
        <v>6232</v>
      </c>
      <c r="F9" s="5">
        <v>2943</v>
      </c>
      <c r="G9" s="6">
        <v>5328</v>
      </c>
      <c r="H9" s="6">
        <v>4357</v>
      </c>
      <c r="I9" s="24">
        <v>2522</v>
      </c>
      <c r="J9" s="6">
        <v>4538</v>
      </c>
      <c r="K9" s="6">
        <v>3773</v>
      </c>
    </row>
    <row r="10" spans="2:11" ht="18.75" customHeight="1">
      <c r="B10" s="35">
        <v>6</v>
      </c>
      <c r="C10" s="5">
        <v>6313</v>
      </c>
      <c r="D10" s="6">
        <v>1911</v>
      </c>
      <c r="E10" s="6">
        <v>21678</v>
      </c>
      <c r="F10" s="5">
        <v>4229</v>
      </c>
      <c r="G10" s="6">
        <v>12244</v>
      </c>
      <c r="H10" s="6">
        <v>7012</v>
      </c>
      <c r="I10" s="24">
        <v>2906</v>
      </c>
      <c r="J10" s="6">
        <v>2058</v>
      </c>
      <c r="K10" s="6">
        <v>2059</v>
      </c>
    </row>
    <row r="11" spans="2:11" ht="18.75" customHeight="1">
      <c r="B11" s="35">
        <v>7</v>
      </c>
      <c r="C11" s="5">
        <v>257</v>
      </c>
      <c r="D11" s="6">
        <v>1</v>
      </c>
      <c r="E11" s="6">
        <v>2</v>
      </c>
      <c r="F11" s="5">
        <v>3361</v>
      </c>
      <c r="G11" s="6">
        <v>2851</v>
      </c>
      <c r="H11" s="6">
        <v>1595</v>
      </c>
      <c r="I11" s="24">
        <v>1710</v>
      </c>
      <c r="J11" s="6">
        <v>3204</v>
      </c>
      <c r="K11" s="6">
        <v>784</v>
      </c>
    </row>
    <row r="12" spans="2:11" ht="18.75" customHeight="1">
      <c r="B12" s="35">
        <v>8</v>
      </c>
      <c r="C12" s="5">
        <v>758</v>
      </c>
      <c r="D12" s="6">
        <v>0</v>
      </c>
      <c r="E12" s="6">
        <v>5</v>
      </c>
      <c r="F12" s="5">
        <v>1683</v>
      </c>
      <c r="G12" s="6">
        <v>2833</v>
      </c>
      <c r="H12" s="6">
        <v>1407</v>
      </c>
      <c r="I12" s="24">
        <v>3337</v>
      </c>
      <c r="J12" s="6">
        <v>1360</v>
      </c>
      <c r="K12" s="6">
        <v>1056</v>
      </c>
    </row>
    <row r="13" spans="2:11" ht="18.75" customHeight="1">
      <c r="B13" s="35">
        <v>9</v>
      </c>
      <c r="C13" s="5">
        <v>449</v>
      </c>
      <c r="D13" s="6">
        <v>0</v>
      </c>
      <c r="E13" s="6">
        <v>97</v>
      </c>
      <c r="F13" s="5">
        <v>2885</v>
      </c>
      <c r="G13" s="6">
        <v>3957</v>
      </c>
      <c r="H13" s="6">
        <v>3534</v>
      </c>
      <c r="I13" s="24">
        <v>609</v>
      </c>
      <c r="J13" s="6">
        <v>1648</v>
      </c>
      <c r="K13" s="6">
        <v>3408</v>
      </c>
    </row>
    <row r="14" spans="2:11" ht="18.75" customHeight="1">
      <c r="B14" s="35">
        <v>10</v>
      </c>
      <c r="C14" s="5">
        <v>1160</v>
      </c>
      <c r="D14" s="6">
        <v>75</v>
      </c>
      <c r="E14" s="6">
        <v>254</v>
      </c>
      <c r="F14" s="5">
        <v>2676</v>
      </c>
      <c r="G14" s="6">
        <v>4174</v>
      </c>
      <c r="H14" s="6">
        <v>2747</v>
      </c>
      <c r="I14" s="24">
        <v>9827</v>
      </c>
      <c r="J14" s="6">
        <v>11519</v>
      </c>
      <c r="K14" s="6">
        <v>5642</v>
      </c>
    </row>
    <row r="15" spans="2:11" ht="18.75" customHeight="1">
      <c r="B15" s="35">
        <v>11</v>
      </c>
      <c r="C15" s="5">
        <v>20763</v>
      </c>
      <c r="D15" s="6">
        <v>21018</v>
      </c>
      <c r="E15" s="6">
        <v>19824</v>
      </c>
      <c r="F15" s="5">
        <v>2735</v>
      </c>
      <c r="G15" s="6">
        <v>5104</v>
      </c>
      <c r="H15" s="6">
        <v>6390</v>
      </c>
      <c r="I15" s="24">
        <v>5680</v>
      </c>
      <c r="J15" s="6">
        <v>9339</v>
      </c>
      <c r="K15" s="6">
        <v>2884</v>
      </c>
    </row>
    <row r="16" spans="2:11" ht="18.75" customHeight="1">
      <c r="B16" s="35">
        <v>12</v>
      </c>
      <c r="C16" s="5">
        <v>13932</v>
      </c>
      <c r="D16" s="6">
        <v>17320</v>
      </c>
      <c r="E16" s="6">
        <v>15397</v>
      </c>
      <c r="F16" s="5">
        <v>10516</v>
      </c>
      <c r="G16" s="6">
        <v>6942</v>
      </c>
      <c r="H16" s="6">
        <v>8036</v>
      </c>
      <c r="I16" s="24">
        <v>3907</v>
      </c>
      <c r="J16" s="6">
        <v>2699</v>
      </c>
      <c r="K16" s="6">
        <v>3281</v>
      </c>
    </row>
    <row r="17" spans="2:11" s="14" customFormat="1" ht="18.75" customHeight="1" thickBot="1">
      <c r="B17" s="35" t="s">
        <v>31</v>
      </c>
      <c r="C17" s="11">
        <f>SUM(C5:C16)</f>
        <v>66082</v>
      </c>
      <c r="D17" s="12">
        <f t="shared" ref="D17:K17" si="0">SUM(D5:D16)</f>
        <v>63898</v>
      </c>
      <c r="E17" s="36">
        <f t="shared" si="0"/>
        <v>64928</v>
      </c>
      <c r="F17" s="11">
        <f t="shared" si="0"/>
        <v>36593</v>
      </c>
      <c r="G17" s="12">
        <f t="shared" si="0"/>
        <v>56435</v>
      </c>
      <c r="H17" s="12">
        <f t="shared" si="0"/>
        <v>46207</v>
      </c>
      <c r="I17" s="37">
        <f t="shared" si="0"/>
        <v>44683</v>
      </c>
      <c r="J17" s="12">
        <f t="shared" si="0"/>
        <v>55364</v>
      </c>
      <c r="K17" s="12">
        <f t="shared" si="0"/>
        <v>32764</v>
      </c>
    </row>
    <row r="18" spans="2:11">
      <c r="B18" s="70" t="s">
        <v>30</v>
      </c>
      <c r="C18" s="69" t="s">
        <v>3</v>
      </c>
      <c r="D18" s="68"/>
      <c r="E18" s="68"/>
      <c r="F18" s="69" t="s">
        <v>13</v>
      </c>
      <c r="G18" s="68"/>
      <c r="H18" s="68"/>
      <c r="I18" s="67" t="s">
        <v>14</v>
      </c>
      <c r="J18" s="68"/>
      <c r="K18" s="68"/>
    </row>
    <row r="19" spans="2:11">
      <c r="B19" s="70"/>
      <c r="C19" s="1">
        <v>2023</v>
      </c>
      <c r="D19" s="2">
        <v>2024</v>
      </c>
      <c r="E19" s="2">
        <v>2025</v>
      </c>
      <c r="F19" s="1">
        <v>2023</v>
      </c>
      <c r="G19" s="2">
        <v>2024</v>
      </c>
      <c r="H19" s="2">
        <v>2025</v>
      </c>
      <c r="I19" s="23">
        <v>2023</v>
      </c>
      <c r="J19" s="2">
        <v>2024</v>
      </c>
      <c r="K19" s="2">
        <v>2025</v>
      </c>
    </row>
    <row r="20" spans="2:11">
      <c r="B20" s="35">
        <v>1</v>
      </c>
      <c r="C20" s="5">
        <v>3388</v>
      </c>
      <c r="D20" s="6">
        <v>1681</v>
      </c>
      <c r="E20" s="6">
        <v>1114</v>
      </c>
      <c r="F20" s="5">
        <v>292</v>
      </c>
      <c r="G20" s="6">
        <v>774</v>
      </c>
      <c r="H20" s="6">
        <v>783</v>
      </c>
      <c r="I20" s="24">
        <v>453</v>
      </c>
      <c r="J20" s="6">
        <v>3868</v>
      </c>
      <c r="K20" s="6">
        <v>1034</v>
      </c>
    </row>
    <row r="21" spans="2:11">
      <c r="B21" s="35">
        <v>2</v>
      </c>
      <c r="C21" s="5">
        <v>12348</v>
      </c>
      <c r="D21" s="6">
        <v>4287</v>
      </c>
      <c r="E21" s="6">
        <v>1685</v>
      </c>
      <c r="F21" s="5">
        <v>39</v>
      </c>
      <c r="G21" s="6">
        <v>96</v>
      </c>
      <c r="H21" s="6">
        <v>29</v>
      </c>
      <c r="I21" s="24">
        <v>1353</v>
      </c>
      <c r="J21" s="6">
        <v>486</v>
      </c>
      <c r="K21" s="6">
        <v>0</v>
      </c>
    </row>
    <row r="22" spans="2:11">
      <c r="B22" s="35">
        <v>3</v>
      </c>
      <c r="C22" s="5">
        <v>5928</v>
      </c>
      <c r="D22" s="6">
        <v>4728</v>
      </c>
      <c r="E22" s="6">
        <v>5183</v>
      </c>
      <c r="F22" s="5">
        <v>90</v>
      </c>
      <c r="G22" s="6">
        <v>0</v>
      </c>
      <c r="H22" s="6">
        <v>1743</v>
      </c>
      <c r="I22" s="24">
        <v>1081</v>
      </c>
      <c r="J22" s="6">
        <v>87</v>
      </c>
      <c r="K22" s="6">
        <v>1437</v>
      </c>
    </row>
    <row r="23" spans="2:11">
      <c r="B23" s="35">
        <v>4</v>
      </c>
      <c r="C23" s="5">
        <v>10833</v>
      </c>
      <c r="D23" s="6">
        <v>11145</v>
      </c>
      <c r="E23" s="6">
        <v>33102</v>
      </c>
      <c r="F23" s="5">
        <v>6598</v>
      </c>
      <c r="G23" s="6">
        <v>7027</v>
      </c>
      <c r="H23" s="6">
        <v>959</v>
      </c>
      <c r="I23" s="24">
        <v>1160</v>
      </c>
      <c r="J23" s="6">
        <v>1105</v>
      </c>
      <c r="K23" s="6">
        <v>246</v>
      </c>
    </row>
    <row r="24" spans="2:11">
      <c r="B24" s="35">
        <v>5</v>
      </c>
      <c r="C24" s="5">
        <v>3038</v>
      </c>
      <c r="D24" s="6">
        <v>19450</v>
      </c>
      <c r="E24" s="6">
        <v>26432</v>
      </c>
      <c r="F24" s="5">
        <v>731</v>
      </c>
      <c r="G24" s="6">
        <v>885</v>
      </c>
      <c r="H24" s="6">
        <v>4296</v>
      </c>
      <c r="I24" s="24">
        <v>2821</v>
      </c>
      <c r="J24" s="6">
        <v>563</v>
      </c>
      <c r="K24" s="6">
        <v>271</v>
      </c>
    </row>
    <row r="25" spans="2:11">
      <c r="B25" s="35">
        <v>6</v>
      </c>
      <c r="C25" s="5">
        <v>1469</v>
      </c>
      <c r="D25" s="6">
        <v>17941</v>
      </c>
      <c r="E25" s="6">
        <v>25858</v>
      </c>
      <c r="F25" s="5">
        <v>2381</v>
      </c>
      <c r="G25" s="6">
        <v>646</v>
      </c>
      <c r="H25" s="6">
        <v>202</v>
      </c>
      <c r="I25" s="24">
        <v>3579</v>
      </c>
      <c r="J25" s="6">
        <v>2227</v>
      </c>
      <c r="K25" s="6">
        <v>2612</v>
      </c>
    </row>
    <row r="26" spans="2:11">
      <c r="B26" s="35">
        <v>7</v>
      </c>
      <c r="C26" s="5">
        <v>12113</v>
      </c>
      <c r="D26" s="6">
        <v>13409</v>
      </c>
      <c r="E26" s="6">
        <v>17239</v>
      </c>
      <c r="F26" s="5">
        <v>283</v>
      </c>
      <c r="G26" s="6">
        <v>139</v>
      </c>
      <c r="H26" s="6">
        <v>188</v>
      </c>
      <c r="I26" s="24">
        <v>3572</v>
      </c>
      <c r="J26" s="6">
        <v>1504</v>
      </c>
      <c r="K26" s="6">
        <v>1579</v>
      </c>
    </row>
    <row r="27" spans="2:11">
      <c r="B27" s="35">
        <v>8</v>
      </c>
      <c r="C27" s="5">
        <v>5820</v>
      </c>
      <c r="D27" s="6">
        <v>21605</v>
      </c>
      <c r="E27" s="6">
        <v>7724</v>
      </c>
      <c r="F27" s="5">
        <v>119</v>
      </c>
      <c r="G27" s="6">
        <v>32</v>
      </c>
      <c r="H27" s="6">
        <v>219</v>
      </c>
      <c r="I27" s="24">
        <v>4154</v>
      </c>
      <c r="J27" s="6">
        <v>1272</v>
      </c>
      <c r="K27" s="6">
        <v>143</v>
      </c>
    </row>
    <row r="28" spans="2:11">
      <c r="B28" s="35">
        <v>9</v>
      </c>
      <c r="C28" s="5">
        <v>8296</v>
      </c>
      <c r="D28" s="6">
        <v>7618</v>
      </c>
      <c r="E28" s="6">
        <v>10128</v>
      </c>
      <c r="F28" s="5">
        <v>1257</v>
      </c>
      <c r="G28" s="6">
        <v>0</v>
      </c>
      <c r="H28" s="6">
        <v>516</v>
      </c>
      <c r="I28" s="24">
        <v>2361</v>
      </c>
      <c r="J28" s="6">
        <v>564</v>
      </c>
      <c r="K28" s="6">
        <v>792</v>
      </c>
    </row>
    <row r="29" spans="2:11">
      <c r="B29" s="35">
        <v>10</v>
      </c>
      <c r="C29" s="5">
        <v>15310</v>
      </c>
      <c r="D29" s="6">
        <v>22480</v>
      </c>
      <c r="E29" s="6">
        <v>26493</v>
      </c>
      <c r="F29" s="5">
        <v>4109</v>
      </c>
      <c r="G29" s="6">
        <v>1741</v>
      </c>
      <c r="H29" s="6">
        <v>6856</v>
      </c>
      <c r="I29" s="24">
        <v>2751</v>
      </c>
      <c r="J29" s="6">
        <v>1230</v>
      </c>
      <c r="K29" s="6">
        <v>2719</v>
      </c>
    </row>
    <row r="30" spans="2:11">
      <c r="B30" s="35">
        <v>11</v>
      </c>
      <c r="C30" s="5">
        <v>5486</v>
      </c>
      <c r="D30" s="6">
        <v>21302</v>
      </c>
      <c r="E30" s="6">
        <v>19944</v>
      </c>
      <c r="F30" s="5">
        <v>1307</v>
      </c>
      <c r="G30" s="6">
        <v>8150</v>
      </c>
      <c r="H30" s="6">
        <v>146</v>
      </c>
      <c r="I30" s="24">
        <v>5800</v>
      </c>
      <c r="J30" s="6">
        <v>6058</v>
      </c>
      <c r="K30" s="6">
        <v>835</v>
      </c>
    </row>
    <row r="31" spans="2:11">
      <c r="B31" s="35">
        <v>12</v>
      </c>
      <c r="C31" s="5">
        <v>26181</v>
      </c>
      <c r="D31" s="6">
        <v>27920</v>
      </c>
      <c r="E31" s="6">
        <v>4422</v>
      </c>
      <c r="F31" s="5">
        <v>2348</v>
      </c>
      <c r="G31" s="6">
        <v>797</v>
      </c>
      <c r="H31" s="6">
        <v>349</v>
      </c>
      <c r="I31" s="24">
        <v>5112</v>
      </c>
      <c r="J31" s="6">
        <v>5318</v>
      </c>
      <c r="K31" s="6">
        <v>2542</v>
      </c>
    </row>
    <row r="32" spans="2:11" s="14" customFormat="1" ht="17.25" thickBot="1">
      <c r="B32" s="35" t="s">
        <v>31</v>
      </c>
      <c r="C32" s="11">
        <f t="shared" ref="C32:K32" si="1">SUM(C20:C31)</f>
        <v>110210</v>
      </c>
      <c r="D32" s="12">
        <f t="shared" si="1"/>
        <v>173566</v>
      </c>
      <c r="E32" s="36">
        <f t="shared" si="1"/>
        <v>179324</v>
      </c>
      <c r="F32" s="11">
        <f t="shared" si="1"/>
        <v>19554</v>
      </c>
      <c r="G32" s="12">
        <f t="shared" si="1"/>
        <v>20287</v>
      </c>
      <c r="H32" s="12">
        <f t="shared" si="1"/>
        <v>16286</v>
      </c>
      <c r="I32" s="37">
        <f t="shared" si="1"/>
        <v>34197</v>
      </c>
      <c r="J32" s="12">
        <f t="shared" si="1"/>
        <v>24282</v>
      </c>
      <c r="K32" s="12">
        <f t="shared" si="1"/>
        <v>14210</v>
      </c>
    </row>
    <row r="33" spans="2:11">
      <c r="B33" s="70" t="s">
        <v>30</v>
      </c>
      <c r="C33" s="69" t="s">
        <v>12</v>
      </c>
      <c r="D33" s="68"/>
      <c r="E33" s="68"/>
      <c r="F33" s="69" t="s">
        <v>15</v>
      </c>
      <c r="G33" s="68"/>
      <c r="H33" s="68"/>
      <c r="I33" s="67" t="s">
        <v>37</v>
      </c>
      <c r="J33" s="68"/>
      <c r="K33" s="68"/>
    </row>
    <row r="34" spans="2:11">
      <c r="B34" s="70"/>
      <c r="C34" s="1">
        <v>2023</v>
      </c>
      <c r="D34" s="2">
        <v>2024</v>
      </c>
      <c r="E34" s="2">
        <v>2025</v>
      </c>
      <c r="F34" s="1">
        <v>2023</v>
      </c>
      <c r="G34" s="2">
        <v>2024</v>
      </c>
      <c r="H34" s="2">
        <v>2025</v>
      </c>
      <c r="I34" s="23">
        <v>2023</v>
      </c>
      <c r="J34" s="2">
        <v>2024</v>
      </c>
      <c r="K34" s="2">
        <v>2025</v>
      </c>
    </row>
    <row r="35" spans="2:11">
      <c r="B35" s="35">
        <v>1</v>
      </c>
      <c r="C35" s="5">
        <v>0</v>
      </c>
      <c r="D35" s="6">
        <v>147</v>
      </c>
      <c r="E35" s="6">
        <v>171</v>
      </c>
      <c r="F35" s="5">
        <v>0</v>
      </c>
      <c r="G35" s="6">
        <v>0</v>
      </c>
      <c r="H35" s="6">
        <v>280</v>
      </c>
      <c r="I35" s="24">
        <v>0</v>
      </c>
      <c r="J35" s="6">
        <v>0</v>
      </c>
      <c r="K35" s="6">
        <v>175</v>
      </c>
    </row>
    <row r="36" spans="2:11">
      <c r="B36" s="35">
        <v>2</v>
      </c>
      <c r="C36" s="5">
        <v>0</v>
      </c>
      <c r="D36" s="6">
        <v>43</v>
      </c>
      <c r="E36" s="6">
        <v>0</v>
      </c>
      <c r="F36" s="5">
        <v>0</v>
      </c>
      <c r="G36" s="6">
        <v>157</v>
      </c>
      <c r="H36" s="6">
        <v>0</v>
      </c>
      <c r="I36" s="24">
        <v>0</v>
      </c>
      <c r="J36" s="6">
        <v>0</v>
      </c>
      <c r="K36" s="6">
        <v>0</v>
      </c>
    </row>
    <row r="37" spans="2:11">
      <c r="B37" s="35">
        <v>3</v>
      </c>
      <c r="C37" s="5">
        <v>239</v>
      </c>
      <c r="D37" s="6">
        <v>118</v>
      </c>
      <c r="E37" s="6">
        <v>320</v>
      </c>
      <c r="F37" s="5">
        <v>0</v>
      </c>
      <c r="G37" s="6">
        <v>61</v>
      </c>
      <c r="H37" s="6">
        <v>410</v>
      </c>
      <c r="I37" s="24">
        <v>0</v>
      </c>
      <c r="J37" s="6">
        <v>287</v>
      </c>
      <c r="K37" s="6">
        <v>0</v>
      </c>
    </row>
    <row r="38" spans="2:11">
      <c r="B38" s="35">
        <v>4</v>
      </c>
      <c r="C38" s="5">
        <v>7760</v>
      </c>
      <c r="D38" s="6">
        <v>680</v>
      </c>
      <c r="E38" s="6">
        <v>4889</v>
      </c>
      <c r="F38" s="5">
        <v>0</v>
      </c>
      <c r="G38" s="6">
        <v>3024</v>
      </c>
      <c r="H38" s="6">
        <v>2329</v>
      </c>
      <c r="I38" s="24">
        <v>0</v>
      </c>
      <c r="J38" s="6">
        <v>0</v>
      </c>
      <c r="K38" s="6">
        <v>744</v>
      </c>
    </row>
    <row r="39" spans="2:11">
      <c r="B39" s="35">
        <v>5</v>
      </c>
      <c r="C39" s="5">
        <v>2689</v>
      </c>
      <c r="D39" s="6">
        <v>6968</v>
      </c>
      <c r="E39" s="6">
        <v>4036</v>
      </c>
      <c r="F39" s="5">
        <v>0</v>
      </c>
      <c r="G39" s="6">
        <v>2002</v>
      </c>
      <c r="H39" s="6">
        <v>2120</v>
      </c>
      <c r="I39" s="24">
        <v>0</v>
      </c>
      <c r="J39" s="6">
        <v>733</v>
      </c>
      <c r="K39" s="6">
        <v>3098</v>
      </c>
    </row>
    <row r="40" spans="2:11">
      <c r="B40" s="35">
        <v>6</v>
      </c>
      <c r="C40" s="5">
        <v>1109</v>
      </c>
      <c r="D40" s="6">
        <v>4009</v>
      </c>
      <c r="E40" s="6">
        <v>475</v>
      </c>
      <c r="F40" s="5">
        <v>27</v>
      </c>
      <c r="G40" s="6">
        <v>1340</v>
      </c>
      <c r="H40" s="6">
        <v>1504</v>
      </c>
      <c r="I40" s="24">
        <v>0</v>
      </c>
      <c r="J40" s="6">
        <v>1390</v>
      </c>
      <c r="K40" s="6">
        <v>71</v>
      </c>
    </row>
    <row r="41" spans="2:11">
      <c r="B41" s="35">
        <v>7</v>
      </c>
      <c r="C41" s="5">
        <v>1950</v>
      </c>
      <c r="D41" s="6">
        <v>735</v>
      </c>
      <c r="E41" s="6">
        <v>382</v>
      </c>
      <c r="F41" s="5">
        <v>9</v>
      </c>
      <c r="G41" s="6">
        <v>876</v>
      </c>
      <c r="H41" s="6">
        <v>999</v>
      </c>
      <c r="I41" s="24">
        <v>480</v>
      </c>
      <c r="J41" s="6">
        <v>423</v>
      </c>
      <c r="K41" s="6">
        <v>99</v>
      </c>
    </row>
    <row r="42" spans="2:11">
      <c r="B42" s="35">
        <v>8</v>
      </c>
      <c r="C42" s="5">
        <v>3937</v>
      </c>
      <c r="D42" s="6">
        <v>521</v>
      </c>
      <c r="E42" s="6">
        <v>219</v>
      </c>
      <c r="F42" s="5">
        <v>0</v>
      </c>
      <c r="G42" s="6">
        <v>826</v>
      </c>
      <c r="H42" s="6">
        <v>1424</v>
      </c>
      <c r="I42" s="24">
        <v>0</v>
      </c>
      <c r="J42" s="6">
        <v>490</v>
      </c>
      <c r="K42" s="6">
        <v>0</v>
      </c>
    </row>
    <row r="43" spans="2:11">
      <c r="B43" s="35">
        <v>9</v>
      </c>
      <c r="C43" s="5">
        <v>4444</v>
      </c>
      <c r="D43" s="6">
        <v>4911</v>
      </c>
      <c r="E43" s="6">
        <v>5887</v>
      </c>
      <c r="F43" s="5">
        <v>570</v>
      </c>
      <c r="G43" s="6">
        <v>819</v>
      </c>
      <c r="H43" s="6">
        <v>0</v>
      </c>
      <c r="I43" s="24">
        <v>0</v>
      </c>
      <c r="J43" s="6">
        <v>0</v>
      </c>
      <c r="K43" s="6">
        <v>0</v>
      </c>
    </row>
    <row r="44" spans="2:11">
      <c r="B44" s="35">
        <v>10</v>
      </c>
      <c r="C44" s="5">
        <v>521</v>
      </c>
      <c r="D44" s="6">
        <v>3833</v>
      </c>
      <c r="E44" s="6">
        <v>110</v>
      </c>
      <c r="F44" s="5">
        <v>3</v>
      </c>
      <c r="G44" s="6">
        <v>0</v>
      </c>
      <c r="H44" s="6">
        <v>18</v>
      </c>
      <c r="I44" s="24">
        <v>510</v>
      </c>
      <c r="J44" s="6">
        <v>994</v>
      </c>
      <c r="K44" s="6">
        <v>0</v>
      </c>
    </row>
    <row r="45" spans="2:11">
      <c r="B45" s="35">
        <v>11</v>
      </c>
      <c r="C45" s="5">
        <v>607</v>
      </c>
      <c r="D45" s="6">
        <v>404</v>
      </c>
      <c r="E45" s="6">
        <v>1696</v>
      </c>
      <c r="F45" s="5">
        <v>18</v>
      </c>
      <c r="G45" s="6">
        <v>3508</v>
      </c>
      <c r="H45" s="6">
        <v>5087</v>
      </c>
      <c r="I45" s="24">
        <v>55</v>
      </c>
      <c r="J45" s="6">
        <v>7208</v>
      </c>
      <c r="K45" s="6">
        <v>0</v>
      </c>
    </row>
    <row r="46" spans="2:11">
      <c r="B46" s="35">
        <v>12</v>
      </c>
      <c r="C46" s="5">
        <v>595</v>
      </c>
      <c r="D46" s="6">
        <v>706</v>
      </c>
      <c r="E46" s="6">
        <v>944</v>
      </c>
      <c r="F46" s="5">
        <v>190</v>
      </c>
      <c r="G46" s="6">
        <v>2499</v>
      </c>
      <c r="H46" s="6">
        <v>3164</v>
      </c>
      <c r="I46" s="24">
        <v>58</v>
      </c>
      <c r="J46" s="6">
        <v>3490</v>
      </c>
      <c r="K46" s="6">
        <v>1970</v>
      </c>
    </row>
    <row r="47" spans="2:11" s="14" customFormat="1" ht="17.25" thickBot="1">
      <c r="B47" s="35" t="s">
        <v>31</v>
      </c>
      <c r="C47" s="11">
        <f t="shared" ref="C47:K47" si="2">SUM(C35:C46)</f>
        <v>23851</v>
      </c>
      <c r="D47" s="12">
        <f t="shared" si="2"/>
        <v>23075</v>
      </c>
      <c r="E47" s="12">
        <f t="shared" si="2"/>
        <v>19129</v>
      </c>
      <c r="F47" s="11">
        <f>SUM(F35:F46)</f>
        <v>817</v>
      </c>
      <c r="G47" s="12">
        <f t="shared" si="2"/>
        <v>15112</v>
      </c>
      <c r="H47" s="12">
        <f t="shared" si="2"/>
        <v>17335</v>
      </c>
      <c r="I47" s="37">
        <f t="shared" si="2"/>
        <v>1103</v>
      </c>
      <c r="J47" s="12">
        <f t="shared" si="2"/>
        <v>15015</v>
      </c>
      <c r="K47" s="12">
        <f t="shared" si="2"/>
        <v>6157</v>
      </c>
    </row>
    <row r="48" spans="2:11">
      <c r="B48" s="70" t="s">
        <v>30</v>
      </c>
      <c r="C48" s="69" t="s">
        <v>16</v>
      </c>
      <c r="D48" s="68"/>
      <c r="E48" s="68"/>
      <c r="F48" s="69" t="s">
        <v>17</v>
      </c>
      <c r="G48" s="68"/>
      <c r="H48" s="68"/>
      <c r="I48" s="67" t="s">
        <v>18</v>
      </c>
      <c r="J48" s="68"/>
      <c r="K48" s="68"/>
    </row>
    <row r="49" spans="2:11">
      <c r="B49" s="70"/>
      <c r="C49" s="1">
        <v>2023</v>
      </c>
      <c r="D49" s="2">
        <v>2024</v>
      </c>
      <c r="E49" s="2">
        <v>2025</v>
      </c>
      <c r="F49" s="1">
        <v>2023</v>
      </c>
      <c r="G49" s="2">
        <v>2024</v>
      </c>
      <c r="H49" s="2">
        <v>2025</v>
      </c>
      <c r="I49" s="23">
        <v>2023</v>
      </c>
      <c r="J49" s="2">
        <v>2024</v>
      </c>
      <c r="K49" s="2">
        <v>2025</v>
      </c>
    </row>
    <row r="50" spans="2:11">
      <c r="B50" s="35">
        <v>1</v>
      </c>
      <c r="C50" s="5">
        <v>0</v>
      </c>
      <c r="D50" s="6">
        <v>0</v>
      </c>
      <c r="E50" s="6">
        <v>0</v>
      </c>
      <c r="F50" s="5">
        <v>0</v>
      </c>
      <c r="G50" s="6">
        <v>0</v>
      </c>
      <c r="H50" s="6">
        <v>59</v>
      </c>
      <c r="I50" s="24">
        <v>0</v>
      </c>
      <c r="J50" s="6">
        <v>0</v>
      </c>
      <c r="K50" s="6">
        <v>0</v>
      </c>
    </row>
    <row r="51" spans="2:11">
      <c r="B51" s="35">
        <v>2</v>
      </c>
      <c r="C51" s="5">
        <v>0</v>
      </c>
      <c r="D51" s="6">
        <v>166</v>
      </c>
      <c r="E51" s="6">
        <v>0</v>
      </c>
      <c r="F51" s="5">
        <v>0</v>
      </c>
      <c r="G51" s="6">
        <v>0</v>
      </c>
      <c r="H51" s="6">
        <v>138</v>
      </c>
      <c r="I51" s="24">
        <v>0</v>
      </c>
      <c r="J51" s="6">
        <v>0</v>
      </c>
      <c r="K51" s="6">
        <v>0</v>
      </c>
    </row>
    <row r="52" spans="2:11">
      <c r="B52" s="35">
        <v>3</v>
      </c>
      <c r="C52" s="5">
        <v>0</v>
      </c>
      <c r="D52" s="6">
        <v>0</v>
      </c>
      <c r="E52" s="6">
        <v>190</v>
      </c>
      <c r="F52" s="5">
        <v>0</v>
      </c>
      <c r="G52" s="6">
        <v>0</v>
      </c>
      <c r="H52" s="6">
        <v>379</v>
      </c>
      <c r="I52" s="24">
        <v>0</v>
      </c>
      <c r="J52" s="6">
        <v>0</v>
      </c>
      <c r="K52" s="6">
        <v>0</v>
      </c>
    </row>
    <row r="53" spans="2:11">
      <c r="B53" s="35">
        <v>4</v>
      </c>
      <c r="C53" s="5">
        <v>0</v>
      </c>
      <c r="D53" s="6">
        <v>2329</v>
      </c>
      <c r="E53" s="6">
        <v>719</v>
      </c>
      <c r="F53" s="5">
        <v>0</v>
      </c>
      <c r="G53" s="6">
        <v>246</v>
      </c>
      <c r="H53" s="6">
        <v>2091</v>
      </c>
      <c r="I53" s="24">
        <v>0</v>
      </c>
      <c r="J53" s="6">
        <v>0</v>
      </c>
      <c r="K53" s="6">
        <v>0</v>
      </c>
    </row>
    <row r="54" spans="2:11">
      <c r="B54" s="35">
        <v>5</v>
      </c>
      <c r="C54" s="5">
        <v>0</v>
      </c>
      <c r="D54" s="6">
        <v>1303</v>
      </c>
      <c r="E54" s="6">
        <v>429</v>
      </c>
      <c r="F54" s="5">
        <v>0</v>
      </c>
      <c r="G54" s="6">
        <v>1354</v>
      </c>
      <c r="H54" s="6">
        <v>70</v>
      </c>
      <c r="I54" s="24">
        <v>0</v>
      </c>
      <c r="J54" s="6">
        <v>0</v>
      </c>
      <c r="K54" s="6">
        <v>0</v>
      </c>
    </row>
    <row r="55" spans="2:11">
      <c r="B55" s="35">
        <v>6</v>
      </c>
      <c r="C55" s="5">
        <v>0</v>
      </c>
      <c r="D55" s="6">
        <v>505</v>
      </c>
      <c r="E55" s="6">
        <v>714</v>
      </c>
      <c r="F55" s="5">
        <v>0</v>
      </c>
      <c r="G55" s="6">
        <v>198</v>
      </c>
      <c r="H55" s="6">
        <v>1835</v>
      </c>
      <c r="I55" s="24">
        <v>0</v>
      </c>
      <c r="J55" s="6">
        <v>0</v>
      </c>
      <c r="K55" s="6">
        <v>0</v>
      </c>
    </row>
    <row r="56" spans="2:11">
      <c r="B56" s="35">
        <v>7</v>
      </c>
      <c r="C56" s="5">
        <v>0</v>
      </c>
      <c r="D56" s="6">
        <v>82</v>
      </c>
      <c r="E56" s="6">
        <v>109</v>
      </c>
      <c r="F56" s="5">
        <v>0</v>
      </c>
      <c r="G56" s="6">
        <v>1580</v>
      </c>
      <c r="H56" s="6">
        <v>581</v>
      </c>
      <c r="I56" s="24">
        <v>0</v>
      </c>
      <c r="J56" s="6">
        <v>0</v>
      </c>
      <c r="K56" s="6">
        <v>0</v>
      </c>
    </row>
    <row r="57" spans="2:11">
      <c r="B57" s="35">
        <v>8</v>
      </c>
      <c r="C57" s="5">
        <v>0</v>
      </c>
      <c r="D57" s="6">
        <v>0</v>
      </c>
      <c r="E57" s="6">
        <v>110</v>
      </c>
      <c r="F57" s="5">
        <v>0</v>
      </c>
      <c r="G57" s="6">
        <v>2085</v>
      </c>
      <c r="H57" s="6">
        <v>34</v>
      </c>
      <c r="I57" s="24">
        <v>0</v>
      </c>
      <c r="J57" s="6">
        <v>0</v>
      </c>
      <c r="K57" s="6">
        <v>0</v>
      </c>
    </row>
    <row r="58" spans="2:11">
      <c r="B58" s="35">
        <v>9</v>
      </c>
      <c r="C58" s="5">
        <v>0</v>
      </c>
      <c r="D58" s="6">
        <v>115</v>
      </c>
      <c r="E58" s="6">
        <v>205</v>
      </c>
      <c r="F58" s="5">
        <v>0</v>
      </c>
      <c r="G58" s="6">
        <v>20</v>
      </c>
      <c r="H58" s="6">
        <v>1514</v>
      </c>
      <c r="I58" s="24">
        <v>0</v>
      </c>
      <c r="J58" s="6">
        <v>0</v>
      </c>
      <c r="K58" s="6">
        <v>3618</v>
      </c>
    </row>
    <row r="59" spans="2:11">
      <c r="B59" s="35">
        <v>10</v>
      </c>
      <c r="C59" s="5">
        <v>0</v>
      </c>
      <c r="D59" s="6">
        <v>11</v>
      </c>
      <c r="E59" s="6">
        <v>20</v>
      </c>
      <c r="F59" s="5">
        <v>0</v>
      </c>
      <c r="G59" s="6">
        <v>3389</v>
      </c>
      <c r="H59" s="6">
        <v>3385</v>
      </c>
      <c r="I59" s="24">
        <v>0</v>
      </c>
      <c r="J59" s="6">
        <v>0</v>
      </c>
      <c r="K59" s="6">
        <v>8549</v>
      </c>
    </row>
    <row r="60" spans="2:11">
      <c r="B60" s="35">
        <v>11</v>
      </c>
      <c r="C60" s="5">
        <v>1316</v>
      </c>
      <c r="D60" s="6">
        <v>388</v>
      </c>
      <c r="E60" s="6">
        <v>810</v>
      </c>
      <c r="F60" s="5">
        <v>0</v>
      </c>
      <c r="G60" s="6">
        <v>749</v>
      </c>
      <c r="H60" s="6">
        <v>3757</v>
      </c>
      <c r="I60" s="24">
        <v>0</v>
      </c>
      <c r="J60" s="6">
        <v>0</v>
      </c>
      <c r="K60" s="6">
        <v>2423</v>
      </c>
    </row>
    <row r="61" spans="2:11">
      <c r="B61" s="35">
        <v>12</v>
      </c>
      <c r="C61" s="5">
        <v>771</v>
      </c>
      <c r="D61" s="6">
        <v>2014</v>
      </c>
      <c r="E61" s="6">
        <v>1561</v>
      </c>
      <c r="F61" s="5">
        <v>0</v>
      </c>
      <c r="G61" s="6">
        <v>2356</v>
      </c>
      <c r="H61" s="6">
        <v>4107</v>
      </c>
      <c r="I61" s="24">
        <v>0</v>
      </c>
      <c r="J61" s="6">
        <v>0</v>
      </c>
      <c r="K61" s="6">
        <v>3762</v>
      </c>
    </row>
    <row r="62" spans="2:11" s="14" customFormat="1" ht="17.25" thickBot="1">
      <c r="B62" s="35" t="s">
        <v>31</v>
      </c>
      <c r="C62" s="12">
        <f t="shared" ref="C62:K62" si="3">SUM(C50:C61)</f>
        <v>2087</v>
      </c>
      <c r="D62" s="12">
        <f t="shared" si="3"/>
        <v>6913</v>
      </c>
      <c r="E62" s="12">
        <f t="shared" si="3"/>
        <v>4867</v>
      </c>
      <c r="F62" s="11">
        <f t="shared" si="3"/>
        <v>0</v>
      </c>
      <c r="G62" s="12">
        <f t="shared" si="3"/>
        <v>11977</v>
      </c>
      <c r="H62" s="12">
        <f t="shared" si="3"/>
        <v>17950</v>
      </c>
      <c r="I62" s="37">
        <f t="shared" si="3"/>
        <v>0</v>
      </c>
      <c r="J62" s="12">
        <f t="shared" si="3"/>
        <v>0</v>
      </c>
      <c r="K62" s="12">
        <f t="shared" si="3"/>
        <v>18352</v>
      </c>
    </row>
    <row r="63" spans="2:11" ht="21" thickBot="1">
      <c r="B63" s="76" t="s">
        <v>19</v>
      </c>
      <c r="C63" s="77"/>
      <c r="D63" s="77"/>
      <c r="E63" s="77"/>
      <c r="F63" s="77"/>
      <c r="G63" s="77"/>
      <c r="H63" s="77"/>
      <c r="I63" s="77"/>
      <c r="J63" s="77"/>
      <c r="K63" s="77"/>
    </row>
    <row r="64" spans="2:11">
      <c r="B64" s="70" t="s">
        <v>30</v>
      </c>
      <c r="C64" s="69" t="s">
        <v>21</v>
      </c>
      <c r="D64" s="68"/>
      <c r="E64" s="68"/>
      <c r="F64" s="69" t="s">
        <v>23</v>
      </c>
      <c r="G64" s="68"/>
      <c r="H64" s="68"/>
      <c r="I64" s="67" t="s">
        <v>20</v>
      </c>
      <c r="J64" s="68"/>
      <c r="K64" s="68"/>
    </row>
    <row r="65" spans="2:11">
      <c r="B65" s="70"/>
      <c r="C65" s="1">
        <v>2023</v>
      </c>
      <c r="D65" s="2">
        <v>2024</v>
      </c>
      <c r="E65" s="2">
        <v>2025</v>
      </c>
      <c r="F65" s="1">
        <v>2023</v>
      </c>
      <c r="G65" s="2">
        <v>2024</v>
      </c>
      <c r="H65" s="2">
        <v>2025</v>
      </c>
      <c r="I65" s="23">
        <v>2023</v>
      </c>
      <c r="J65" s="2">
        <v>2024</v>
      </c>
      <c r="K65" s="2">
        <v>2025</v>
      </c>
    </row>
    <row r="66" spans="2:11">
      <c r="B66" s="35">
        <v>1</v>
      </c>
      <c r="C66" s="5">
        <v>0</v>
      </c>
      <c r="D66" s="6">
        <v>524</v>
      </c>
      <c r="E66" s="6">
        <v>10</v>
      </c>
      <c r="F66" s="5">
        <v>152</v>
      </c>
      <c r="G66" s="6">
        <v>114</v>
      </c>
      <c r="H66" s="6">
        <v>0</v>
      </c>
      <c r="I66" s="24">
        <v>0</v>
      </c>
      <c r="J66" s="6">
        <v>1344</v>
      </c>
      <c r="K66" s="6">
        <v>1030</v>
      </c>
    </row>
    <row r="67" spans="2:11">
      <c r="B67" s="35">
        <v>2</v>
      </c>
      <c r="C67" s="5">
        <v>101</v>
      </c>
      <c r="D67" s="6">
        <v>0</v>
      </c>
      <c r="E67" s="6">
        <v>0</v>
      </c>
      <c r="F67" s="5">
        <v>0</v>
      </c>
      <c r="G67" s="6">
        <v>348</v>
      </c>
      <c r="H67" s="6">
        <v>816</v>
      </c>
      <c r="I67" s="24">
        <v>0</v>
      </c>
      <c r="J67" s="6">
        <v>384</v>
      </c>
      <c r="K67" s="6">
        <v>4121</v>
      </c>
    </row>
    <row r="68" spans="2:11">
      <c r="B68" s="35">
        <v>3</v>
      </c>
      <c r="C68" s="5">
        <v>464</v>
      </c>
      <c r="D68" s="6">
        <v>28</v>
      </c>
      <c r="E68" s="6">
        <v>0</v>
      </c>
      <c r="F68" s="5">
        <v>534</v>
      </c>
      <c r="G68" s="6">
        <v>242</v>
      </c>
      <c r="H68" s="6">
        <v>1001</v>
      </c>
      <c r="I68" s="24">
        <v>875</v>
      </c>
      <c r="J68" s="6">
        <v>75</v>
      </c>
      <c r="K68" s="6">
        <v>1231</v>
      </c>
    </row>
    <row r="69" spans="2:11">
      <c r="B69" s="35">
        <v>4</v>
      </c>
      <c r="C69" s="5">
        <v>12667</v>
      </c>
      <c r="D69" s="6">
        <v>261</v>
      </c>
      <c r="E69" s="6">
        <v>10478</v>
      </c>
      <c r="F69" s="5">
        <v>737</v>
      </c>
      <c r="G69" s="6">
        <v>1551</v>
      </c>
      <c r="H69" s="6">
        <v>142</v>
      </c>
      <c r="I69" s="24">
        <v>0</v>
      </c>
      <c r="J69" s="6">
        <v>11</v>
      </c>
      <c r="K69" s="6">
        <v>21</v>
      </c>
    </row>
    <row r="70" spans="2:11">
      <c r="B70" s="35">
        <v>5</v>
      </c>
      <c r="C70" s="5">
        <v>5215</v>
      </c>
      <c r="D70" s="6">
        <v>535</v>
      </c>
      <c r="E70" s="6">
        <v>9464</v>
      </c>
      <c r="F70" s="5">
        <v>3508</v>
      </c>
      <c r="G70" s="6">
        <v>5652</v>
      </c>
      <c r="H70" s="6">
        <v>2936</v>
      </c>
      <c r="I70" s="24">
        <v>1027</v>
      </c>
      <c r="J70" s="6">
        <v>223</v>
      </c>
      <c r="K70" s="6">
        <v>1654</v>
      </c>
    </row>
    <row r="71" spans="2:11">
      <c r="B71" s="35">
        <v>6</v>
      </c>
      <c r="C71" s="5">
        <v>1916</v>
      </c>
      <c r="D71" s="6">
        <v>10569</v>
      </c>
      <c r="E71" s="6">
        <v>2946</v>
      </c>
      <c r="F71" s="5">
        <v>3339</v>
      </c>
      <c r="G71" s="6">
        <v>1681</v>
      </c>
      <c r="H71" s="6">
        <v>2501</v>
      </c>
      <c r="I71" s="24">
        <v>601</v>
      </c>
      <c r="J71" s="6">
        <v>0</v>
      </c>
      <c r="K71" s="6">
        <v>872</v>
      </c>
    </row>
    <row r="72" spans="2:11">
      <c r="B72" s="35">
        <v>7</v>
      </c>
      <c r="C72" s="5">
        <v>777</v>
      </c>
      <c r="D72" s="6">
        <v>4971</v>
      </c>
      <c r="E72" s="6">
        <v>3438</v>
      </c>
      <c r="F72" s="5">
        <v>340</v>
      </c>
      <c r="G72" s="6">
        <v>950</v>
      </c>
      <c r="H72" s="6">
        <v>523</v>
      </c>
      <c r="I72" s="24">
        <v>2677</v>
      </c>
      <c r="J72" s="6">
        <v>1628</v>
      </c>
      <c r="K72" s="6">
        <v>682</v>
      </c>
    </row>
    <row r="73" spans="2:11">
      <c r="B73" s="35">
        <v>8</v>
      </c>
      <c r="C73" s="5">
        <v>0</v>
      </c>
      <c r="D73" s="6">
        <v>411</v>
      </c>
      <c r="E73" s="6">
        <v>0</v>
      </c>
      <c r="F73" s="5">
        <v>614</v>
      </c>
      <c r="G73" s="6">
        <v>839</v>
      </c>
      <c r="H73" s="6">
        <v>776</v>
      </c>
      <c r="I73" s="24">
        <v>194</v>
      </c>
      <c r="J73" s="6">
        <v>0</v>
      </c>
      <c r="K73" s="6">
        <v>315</v>
      </c>
    </row>
    <row r="74" spans="2:11">
      <c r="B74" s="35">
        <v>9</v>
      </c>
      <c r="C74" s="5">
        <v>2132</v>
      </c>
      <c r="D74" s="6">
        <v>254</v>
      </c>
      <c r="E74" s="6">
        <v>434</v>
      </c>
      <c r="F74" s="5">
        <v>5092</v>
      </c>
      <c r="G74" s="6">
        <v>530</v>
      </c>
      <c r="H74" s="6">
        <v>558</v>
      </c>
      <c r="I74" s="24">
        <v>655</v>
      </c>
      <c r="J74" s="6">
        <v>12</v>
      </c>
      <c r="K74" s="6">
        <v>6398</v>
      </c>
    </row>
    <row r="75" spans="2:11">
      <c r="B75" s="35">
        <v>10</v>
      </c>
      <c r="C75" s="5">
        <v>1930</v>
      </c>
      <c r="D75" s="6">
        <v>0</v>
      </c>
      <c r="E75" s="6">
        <v>564</v>
      </c>
      <c r="F75" s="5">
        <v>2310</v>
      </c>
      <c r="G75" s="6">
        <v>5713</v>
      </c>
      <c r="H75" s="6">
        <v>179</v>
      </c>
      <c r="I75" s="24">
        <v>3740</v>
      </c>
      <c r="J75" s="6">
        <v>0</v>
      </c>
      <c r="K75" s="6">
        <v>494</v>
      </c>
    </row>
    <row r="76" spans="2:11">
      <c r="B76" s="35">
        <v>11</v>
      </c>
      <c r="C76" s="5">
        <v>5270</v>
      </c>
      <c r="D76" s="6">
        <v>10692</v>
      </c>
      <c r="E76" s="6">
        <v>14247</v>
      </c>
      <c r="F76" s="5">
        <v>4331</v>
      </c>
      <c r="G76" s="6">
        <v>2998</v>
      </c>
      <c r="H76" s="6">
        <v>3573</v>
      </c>
      <c r="I76" s="24">
        <v>8509</v>
      </c>
      <c r="J76" s="6">
        <v>6549</v>
      </c>
      <c r="K76" s="6">
        <v>4171</v>
      </c>
    </row>
    <row r="77" spans="2:11">
      <c r="B77" s="35">
        <v>12</v>
      </c>
      <c r="C77" s="5">
        <v>733</v>
      </c>
      <c r="D77" s="6">
        <v>2309</v>
      </c>
      <c r="E77" s="6">
        <v>5906</v>
      </c>
      <c r="F77" s="5">
        <v>759</v>
      </c>
      <c r="G77" s="6">
        <v>2254</v>
      </c>
      <c r="H77" s="6">
        <v>1225</v>
      </c>
      <c r="I77" s="24">
        <v>2293</v>
      </c>
      <c r="J77" s="6">
        <v>1326</v>
      </c>
      <c r="K77" s="6">
        <v>1778</v>
      </c>
    </row>
    <row r="78" spans="2:11" s="14" customFormat="1" ht="17.25" thickBot="1">
      <c r="B78" s="35" t="s">
        <v>31</v>
      </c>
      <c r="C78" s="11">
        <f t="shared" ref="C78:K78" si="4">SUM(C66:C77)</f>
        <v>31205</v>
      </c>
      <c r="D78" s="12">
        <f t="shared" si="4"/>
        <v>30554</v>
      </c>
      <c r="E78" s="12">
        <f t="shared" si="4"/>
        <v>47487</v>
      </c>
      <c r="F78" s="11">
        <f t="shared" si="4"/>
        <v>21716</v>
      </c>
      <c r="G78" s="12">
        <f t="shared" si="4"/>
        <v>22872</v>
      </c>
      <c r="H78" s="12">
        <f t="shared" si="4"/>
        <v>14230</v>
      </c>
      <c r="I78" s="37">
        <f t="shared" si="4"/>
        <v>20571</v>
      </c>
      <c r="J78" s="12">
        <f t="shared" si="4"/>
        <v>11552</v>
      </c>
      <c r="K78" s="12">
        <f t="shared" si="4"/>
        <v>22767</v>
      </c>
    </row>
    <row r="79" spans="2:11">
      <c r="B79" s="70" t="s">
        <v>30</v>
      </c>
      <c r="C79" s="69" t="s">
        <v>24</v>
      </c>
      <c r="D79" s="68"/>
      <c r="E79" s="68"/>
      <c r="F79" s="69" t="s">
        <v>22</v>
      </c>
      <c r="G79" s="68"/>
      <c r="H79" s="68"/>
      <c r="I79" s="67" t="s">
        <v>25</v>
      </c>
      <c r="J79" s="68"/>
      <c r="K79" s="68"/>
    </row>
    <row r="80" spans="2:11">
      <c r="B80" s="70"/>
      <c r="C80" s="1">
        <v>2023</v>
      </c>
      <c r="D80" s="2">
        <v>2024</v>
      </c>
      <c r="E80" s="2">
        <v>2025</v>
      </c>
      <c r="F80" s="1">
        <v>2023</v>
      </c>
      <c r="G80" s="2">
        <v>2024</v>
      </c>
      <c r="H80" s="2">
        <v>2025</v>
      </c>
      <c r="I80" s="23">
        <v>2023</v>
      </c>
      <c r="J80" s="2">
        <v>2024</v>
      </c>
      <c r="K80" s="2">
        <v>2025</v>
      </c>
    </row>
    <row r="81" spans="2:11">
      <c r="B81" s="35">
        <v>1</v>
      </c>
      <c r="C81" s="5">
        <v>0</v>
      </c>
      <c r="D81" s="6">
        <v>297</v>
      </c>
      <c r="E81" s="6">
        <v>0</v>
      </c>
      <c r="F81" s="5">
        <v>0</v>
      </c>
      <c r="G81" s="6">
        <v>103</v>
      </c>
      <c r="H81" s="6">
        <v>1506</v>
      </c>
      <c r="I81" s="24">
        <v>0</v>
      </c>
      <c r="J81" s="6">
        <v>0</v>
      </c>
      <c r="K81" s="6">
        <v>0</v>
      </c>
    </row>
    <row r="82" spans="2:11">
      <c r="B82" s="35">
        <v>2</v>
      </c>
      <c r="C82" s="5">
        <v>0</v>
      </c>
      <c r="D82" s="6">
        <v>186</v>
      </c>
      <c r="E82" s="6">
        <v>247</v>
      </c>
      <c r="F82" s="5">
        <v>0</v>
      </c>
      <c r="G82" s="6">
        <v>68</v>
      </c>
      <c r="H82" s="6">
        <v>0</v>
      </c>
      <c r="I82" s="24">
        <v>0</v>
      </c>
      <c r="J82" s="6">
        <v>0</v>
      </c>
      <c r="K82" s="6">
        <v>0</v>
      </c>
    </row>
    <row r="83" spans="2:11">
      <c r="B83" s="35">
        <v>3</v>
      </c>
      <c r="C83" s="5">
        <v>0</v>
      </c>
      <c r="D83" s="6">
        <v>1191</v>
      </c>
      <c r="E83" s="6">
        <v>408</v>
      </c>
      <c r="F83" s="5">
        <v>0</v>
      </c>
      <c r="G83" s="6">
        <v>101</v>
      </c>
      <c r="H83" s="6">
        <v>0</v>
      </c>
      <c r="I83" s="24">
        <v>0</v>
      </c>
      <c r="J83" s="6">
        <v>0</v>
      </c>
      <c r="K83" s="6">
        <v>0</v>
      </c>
    </row>
    <row r="84" spans="2:11">
      <c r="B84" s="35">
        <v>4</v>
      </c>
      <c r="C84" s="5">
        <v>264</v>
      </c>
      <c r="D84" s="6">
        <v>227</v>
      </c>
      <c r="E84" s="6">
        <v>2344</v>
      </c>
      <c r="F84" s="5">
        <v>0</v>
      </c>
      <c r="G84" s="6">
        <v>2434</v>
      </c>
      <c r="H84" s="6">
        <v>1416</v>
      </c>
      <c r="I84" s="24">
        <v>0</v>
      </c>
      <c r="J84" s="6">
        <v>0</v>
      </c>
      <c r="K84" s="6">
        <v>0</v>
      </c>
    </row>
    <row r="85" spans="2:11">
      <c r="B85" s="35">
        <v>5</v>
      </c>
      <c r="C85" s="5">
        <v>360</v>
      </c>
      <c r="D85" s="6">
        <v>602</v>
      </c>
      <c r="E85" s="6">
        <v>1939</v>
      </c>
      <c r="F85" s="5">
        <v>0</v>
      </c>
      <c r="G85" s="6">
        <v>299</v>
      </c>
      <c r="H85" s="6">
        <v>1809</v>
      </c>
      <c r="I85" s="24">
        <v>0</v>
      </c>
      <c r="J85" s="6">
        <v>0</v>
      </c>
      <c r="K85" s="6">
        <v>37</v>
      </c>
    </row>
    <row r="86" spans="2:11">
      <c r="B86" s="35">
        <v>6</v>
      </c>
      <c r="C86" s="5">
        <v>153</v>
      </c>
      <c r="D86" s="6">
        <v>184</v>
      </c>
      <c r="E86" s="6">
        <v>4481</v>
      </c>
      <c r="F86" s="5">
        <v>0</v>
      </c>
      <c r="G86" s="6">
        <v>3151</v>
      </c>
      <c r="H86" s="6">
        <v>3604</v>
      </c>
      <c r="I86" s="24">
        <v>0</v>
      </c>
      <c r="J86" s="6">
        <v>0</v>
      </c>
      <c r="K86" s="6">
        <v>2099</v>
      </c>
    </row>
    <row r="87" spans="2:11">
      <c r="B87" s="35">
        <v>7</v>
      </c>
      <c r="C87" s="5">
        <v>515</v>
      </c>
      <c r="D87" s="6">
        <v>393</v>
      </c>
      <c r="E87" s="6">
        <v>301</v>
      </c>
      <c r="F87" s="5">
        <v>0</v>
      </c>
      <c r="G87" s="6">
        <v>4</v>
      </c>
      <c r="H87" s="6">
        <v>0</v>
      </c>
      <c r="I87" s="24">
        <v>0</v>
      </c>
      <c r="J87" s="6">
        <v>2506</v>
      </c>
      <c r="K87" s="6">
        <v>0</v>
      </c>
    </row>
    <row r="88" spans="2:11">
      <c r="B88" s="35">
        <v>8</v>
      </c>
      <c r="C88" s="5">
        <v>728</v>
      </c>
      <c r="D88" s="6">
        <v>317</v>
      </c>
      <c r="E88" s="6">
        <v>389</v>
      </c>
      <c r="F88" s="5">
        <v>0</v>
      </c>
      <c r="G88" s="6">
        <v>4143</v>
      </c>
      <c r="H88" s="6">
        <v>1914</v>
      </c>
      <c r="I88" s="24">
        <v>0</v>
      </c>
      <c r="J88" s="6">
        <v>170</v>
      </c>
      <c r="K88" s="6">
        <v>0</v>
      </c>
    </row>
    <row r="89" spans="2:11">
      <c r="B89" s="35">
        <v>9</v>
      </c>
      <c r="C89" s="5">
        <v>239</v>
      </c>
      <c r="D89" s="6">
        <v>1857</v>
      </c>
      <c r="E89" s="6">
        <v>415</v>
      </c>
      <c r="F89" s="5">
        <v>0</v>
      </c>
      <c r="G89" s="6">
        <v>39</v>
      </c>
      <c r="H89" s="6">
        <v>1</v>
      </c>
      <c r="I89" s="24">
        <v>0</v>
      </c>
      <c r="J89" s="6">
        <v>139</v>
      </c>
      <c r="K89" s="6">
        <v>81</v>
      </c>
    </row>
    <row r="90" spans="2:11">
      <c r="B90" s="35">
        <v>10</v>
      </c>
      <c r="C90" s="5">
        <v>0</v>
      </c>
      <c r="D90" s="6">
        <v>188</v>
      </c>
      <c r="E90" s="6">
        <v>1765</v>
      </c>
      <c r="F90" s="5">
        <v>0</v>
      </c>
      <c r="G90" s="6">
        <v>231</v>
      </c>
      <c r="H90" s="6">
        <v>0</v>
      </c>
      <c r="I90" s="24">
        <v>0</v>
      </c>
      <c r="J90" s="6">
        <v>394</v>
      </c>
      <c r="K90" s="6">
        <v>494</v>
      </c>
    </row>
    <row r="91" spans="2:11">
      <c r="B91" s="35">
        <v>11</v>
      </c>
      <c r="C91" s="5">
        <v>7433</v>
      </c>
      <c r="D91" s="6">
        <v>11956</v>
      </c>
      <c r="E91" s="6">
        <v>5038</v>
      </c>
      <c r="F91" s="5">
        <v>5</v>
      </c>
      <c r="G91" s="6">
        <v>3933</v>
      </c>
      <c r="H91" s="6">
        <v>3352</v>
      </c>
      <c r="I91" s="24">
        <v>0</v>
      </c>
      <c r="J91" s="6">
        <v>194</v>
      </c>
      <c r="K91" s="6">
        <v>1527</v>
      </c>
    </row>
    <row r="92" spans="2:11">
      <c r="B92" s="35">
        <v>12</v>
      </c>
      <c r="C92" s="5">
        <v>72</v>
      </c>
      <c r="D92" s="6">
        <v>995</v>
      </c>
      <c r="E92" s="6">
        <v>521</v>
      </c>
      <c r="F92" s="5">
        <v>4869</v>
      </c>
      <c r="G92" s="6">
        <v>7445</v>
      </c>
      <c r="H92" s="6">
        <v>10180</v>
      </c>
      <c r="I92" s="24">
        <v>0</v>
      </c>
      <c r="J92" s="6">
        <v>1200</v>
      </c>
      <c r="K92" s="6">
        <v>1446</v>
      </c>
    </row>
    <row r="93" spans="2:11" s="14" customFormat="1" ht="17.25" thickBot="1">
      <c r="B93" s="35" t="s">
        <v>31</v>
      </c>
      <c r="C93" s="11">
        <f t="shared" ref="C93:K93" si="5">SUM(C81:C92)</f>
        <v>9764</v>
      </c>
      <c r="D93" s="12">
        <f t="shared" si="5"/>
        <v>18393</v>
      </c>
      <c r="E93" s="12">
        <f t="shared" si="5"/>
        <v>17848</v>
      </c>
      <c r="F93" s="11">
        <f t="shared" si="5"/>
        <v>4874</v>
      </c>
      <c r="G93" s="12">
        <f t="shared" si="5"/>
        <v>21951</v>
      </c>
      <c r="H93" s="12">
        <f t="shared" si="5"/>
        <v>23782</v>
      </c>
      <c r="I93" s="37">
        <f t="shared" si="5"/>
        <v>0</v>
      </c>
      <c r="J93" s="12">
        <f t="shared" si="5"/>
        <v>4603</v>
      </c>
      <c r="K93" s="12">
        <f t="shared" si="5"/>
        <v>5684</v>
      </c>
    </row>
    <row r="94" spans="2:11">
      <c r="B94" s="70" t="s">
        <v>30</v>
      </c>
      <c r="C94" s="69" t="s">
        <v>26</v>
      </c>
      <c r="D94" s="68"/>
      <c r="E94" s="68"/>
      <c r="F94" s="69" t="s">
        <v>27</v>
      </c>
      <c r="G94" s="68"/>
      <c r="H94" s="68"/>
      <c r="I94" s="67" t="s">
        <v>28</v>
      </c>
      <c r="J94" s="68"/>
      <c r="K94" s="68"/>
    </row>
    <row r="95" spans="2:11">
      <c r="B95" s="70"/>
      <c r="C95" s="1">
        <v>2023</v>
      </c>
      <c r="D95" s="2">
        <v>2024</v>
      </c>
      <c r="E95" s="2">
        <v>2025</v>
      </c>
      <c r="F95" s="1">
        <v>2023</v>
      </c>
      <c r="G95" s="2">
        <v>2024</v>
      </c>
      <c r="H95" s="2">
        <v>2025</v>
      </c>
      <c r="I95" s="23">
        <v>2023</v>
      </c>
      <c r="J95" s="2">
        <v>2024</v>
      </c>
      <c r="K95" s="2">
        <v>2025</v>
      </c>
    </row>
    <row r="96" spans="2:11">
      <c r="B96" s="35">
        <v>1</v>
      </c>
      <c r="C96" s="5">
        <v>0</v>
      </c>
      <c r="D96" s="6">
        <v>0</v>
      </c>
      <c r="E96" s="6">
        <v>52</v>
      </c>
      <c r="F96" s="5">
        <v>0</v>
      </c>
      <c r="G96" s="6">
        <v>0</v>
      </c>
      <c r="H96" s="6">
        <v>0</v>
      </c>
      <c r="I96" s="24">
        <v>0</v>
      </c>
      <c r="J96" s="6">
        <v>0</v>
      </c>
      <c r="K96" s="6">
        <v>0</v>
      </c>
    </row>
    <row r="97" spans="2:11">
      <c r="B97" s="35">
        <v>2</v>
      </c>
      <c r="C97" s="5">
        <v>0</v>
      </c>
      <c r="D97" s="6">
        <v>0</v>
      </c>
      <c r="E97" s="6">
        <v>0</v>
      </c>
      <c r="F97" s="5">
        <v>0</v>
      </c>
      <c r="G97" s="6">
        <v>0</v>
      </c>
      <c r="H97" s="6">
        <v>0</v>
      </c>
      <c r="I97" s="24">
        <v>0</v>
      </c>
      <c r="J97" s="6">
        <v>0</v>
      </c>
      <c r="K97" s="6">
        <v>0</v>
      </c>
    </row>
    <row r="98" spans="2:11">
      <c r="B98" s="35">
        <v>3</v>
      </c>
      <c r="C98" s="5">
        <v>0</v>
      </c>
      <c r="D98" s="6">
        <v>0</v>
      </c>
      <c r="E98" s="6">
        <v>0</v>
      </c>
      <c r="F98" s="5">
        <v>0</v>
      </c>
      <c r="G98" s="6">
        <v>0</v>
      </c>
      <c r="H98" s="6">
        <v>0</v>
      </c>
      <c r="I98" s="24">
        <v>0</v>
      </c>
      <c r="J98" s="6">
        <v>0</v>
      </c>
      <c r="K98" s="6">
        <v>0</v>
      </c>
    </row>
    <row r="99" spans="2:11">
      <c r="B99" s="35">
        <v>4</v>
      </c>
      <c r="C99" s="5">
        <v>0</v>
      </c>
      <c r="D99" s="6">
        <v>0</v>
      </c>
      <c r="E99" s="6">
        <v>0</v>
      </c>
      <c r="F99" s="5">
        <v>0</v>
      </c>
      <c r="G99" s="6">
        <v>0</v>
      </c>
      <c r="H99" s="6">
        <v>180</v>
      </c>
      <c r="I99" s="24">
        <v>0</v>
      </c>
      <c r="J99" s="6">
        <v>0</v>
      </c>
      <c r="K99" s="6">
        <v>0</v>
      </c>
    </row>
    <row r="100" spans="2:11">
      <c r="B100" s="35">
        <v>5</v>
      </c>
      <c r="C100" s="5">
        <v>0</v>
      </c>
      <c r="D100" s="6">
        <v>0</v>
      </c>
      <c r="E100" s="6">
        <v>0</v>
      </c>
      <c r="F100" s="5">
        <v>0</v>
      </c>
      <c r="G100" s="6">
        <v>0</v>
      </c>
      <c r="H100" s="6">
        <v>0</v>
      </c>
      <c r="I100" s="24">
        <v>0</v>
      </c>
      <c r="J100" s="6">
        <v>0</v>
      </c>
      <c r="K100" s="6">
        <v>0</v>
      </c>
    </row>
    <row r="101" spans="2:11">
      <c r="B101" s="35">
        <v>6</v>
      </c>
      <c r="C101" s="5">
        <v>0</v>
      </c>
      <c r="D101" s="6">
        <v>0</v>
      </c>
      <c r="E101" s="6">
        <v>18</v>
      </c>
      <c r="F101" s="5">
        <v>0</v>
      </c>
      <c r="G101" s="6">
        <v>0</v>
      </c>
      <c r="H101" s="6">
        <v>571</v>
      </c>
      <c r="I101" s="24">
        <v>0</v>
      </c>
      <c r="J101" s="6">
        <v>0</v>
      </c>
      <c r="K101" s="6">
        <v>0</v>
      </c>
    </row>
    <row r="102" spans="2:11">
      <c r="B102" s="35">
        <v>7</v>
      </c>
      <c r="C102" s="5">
        <v>0</v>
      </c>
      <c r="D102" s="6">
        <v>0</v>
      </c>
      <c r="E102" s="6">
        <v>4717</v>
      </c>
      <c r="F102" s="5">
        <v>0</v>
      </c>
      <c r="G102" s="6">
        <v>0</v>
      </c>
      <c r="H102" s="6">
        <v>13</v>
      </c>
      <c r="I102" s="24">
        <v>0</v>
      </c>
      <c r="J102" s="6">
        <v>0</v>
      </c>
      <c r="K102" s="6">
        <v>0</v>
      </c>
    </row>
    <row r="103" spans="2:11">
      <c r="B103" s="35">
        <v>8</v>
      </c>
      <c r="C103" s="5">
        <v>0</v>
      </c>
      <c r="D103" s="6">
        <v>0</v>
      </c>
      <c r="E103" s="6">
        <v>0</v>
      </c>
      <c r="F103" s="5">
        <v>0</v>
      </c>
      <c r="G103" s="6">
        <v>0</v>
      </c>
      <c r="H103" s="6">
        <v>7</v>
      </c>
      <c r="I103" s="24">
        <v>0</v>
      </c>
      <c r="J103" s="6">
        <v>0</v>
      </c>
      <c r="K103" s="6">
        <v>0</v>
      </c>
    </row>
    <row r="104" spans="2:11">
      <c r="B104" s="35">
        <v>9</v>
      </c>
      <c r="C104" s="5">
        <v>0</v>
      </c>
      <c r="D104" s="6">
        <v>0</v>
      </c>
      <c r="E104" s="6">
        <v>380</v>
      </c>
      <c r="F104" s="5">
        <v>0</v>
      </c>
      <c r="G104" s="6">
        <v>0</v>
      </c>
      <c r="H104" s="6">
        <v>815</v>
      </c>
      <c r="I104" s="24">
        <v>0</v>
      </c>
      <c r="J104" s="6">
        <v>0</v>
      </c>
      <c r="K104" s="6">
        <v>0</v>
      </c>
    </row>
    <row r="105" spans="2:11">
      <c r="B105" s="35">
        <v>10</v>
      </c>
      <c r="C105" s="5">
        <v>0</v>
      </c>
      <c r="D105" s="6">
        <v>0</v>
      </c>
      <c r="E105" s="6">
        <v>805</v>
      </c>
      <c r="F105" s="5">
        <v>0</v>
      </c>
      <c r="G105" s="6">
        <v>0</v>
      </c>
      <c r="H105" s="6">
        <v>0</v>
      </c>
      <c r="I105" s="24">
        <v>0</v>
      </c>
      <c r="J105" s="6">
        <v>0</v>
      </c>
      <c r="K105" s="6">
        <v>0</v>
      </c>
    </row>
    <row r="106" spans="2:11">
      <c r="B106" s="35">
        <v>11</v>
      </c>
      <c r="C106" s="5">
        <v>0</v>
      </c>
      <c r="D106" s="6">
        <v>1695</v>
      </c>
      <c r="E106" s="6">
        <v>4188</v>
      </c>
      <c r="F106" s="5">
        <v>0</v>
      </c>
      <c r="G106" s="6">
        <v>0</v>
      </c>
      <c r="H106" s="6">
        <v>588</v>
      </c>
      <c r="I106" s="24">
        <v>0</v>
      </c>
      <c r="J106" s="6">
        <v>0</v>
      </c>
      <c r="K106" s="6">
        <v>6559</v>
      </c>
    </row>
    <row r="107" spans="2:11">
      <c r="B107" s="35">
        <v>12</v>
      </c>
      <c r="C107" s="5">
        <v>0</v>
      </c>
      <c r="D107" s="6">
        <v>1628</v>
      </c>
      <c r="E107" s="6">
        <v>1372</v>
      </c>
      <c r="F107" s="5">
        <v>0</v>
      </c>
      <c r="G107" s="6">
        <v>0</v>
      </c>
      <c r="H107" s="6">
        <v>3174</v>
      </c>
      <c r="I107" s="24">
        <v>0</v>
      </c>
      <c r="J107" s="6">
        <v>0</v>
      </c>
      <c r="K107" s="6">
        <v>907</v>
      </c>
    </row>
    <row r="108" spans="2:11" s="14" customFormat="1" ht="17.25" thickBot="1">
      <c r="B108" s="38" t="s">
        <v>31</v>
      </c>
      <c r="C108" s="11">
        <f t="shared" ref="C108:K108" si="6">SUM(C96:C107)</f>
        <v>0</v>
      </c>
      <c r="D108" s="12">
        <f t="shared" si="6"/>
        <v>3323</v>
      </c>
      <c r="E108" s="12">
        <f t="shared" si="6"/>
        <v>11532</v>
      </c>
      <c r="F108" s="11">
        <f t="shared" si="6"/>
        <v>0</v>
      </c>
      <c r="G108" s="12">
        <f t="shared" si="6"/>
        <v>0</v>
      </c>
      <c r="H108" s="12">
        <f t="shared" si="6"/>
        <v>5348</v>
      </c>
      <c r="I108" s="37">
        <f t="shared" si="6"/>
        <v>0</v>
      </c>
      <c r="J108" s="12">
        <f t="shared" si="6"/>
        <v>0</v>
      </c>
      <c r="K108" s="12">
        <f t="shared" si="6"/>
        <v>7466</v>
      </c>
    </row>
    <row r="109" spans="2:11">
      <c r="B109" s="71" t="s">
        <v>30</v>
      </c>
      <c r="C109" s="69" t="s">
        <v>47</v>
      </c>
      <c r="D109" s="68"/>
      <c r="E109" s="68"/>
      <c r="F109" s="65" t="s">
        <v>62</v>
      </c>
      <c r="G109" s="66"/>
      <c r="H109" s="66"/>
    </row>
    <row r="110" spans="2:11">
      <c r="B110" s="70"/>
      <c r="C110" s="1">
        <v>2023</v>
      </c>
      <c r="D110" s="2">
        <v>2024</v>
      </c>
      <c r="E110" s="2">
        <v>2025</v>
      </c>
      <c r="F110" s="43">
        <v>2023</v>
      </c>
      <c r="G110" s="39">
        <v>2024</v>
      </c>
      <c r="H110" s="39">
        <v>2025</v>
      </c>
    </row>
    <row r="111" spans="2:11">
      <c r="B111" s="35">
        <v>1</v>
      </c>
      <c r="C111" s="5">
        <v>0</v>
      </c>
      <c r="D111" s="6">
        <v>0</v>
      </c>
      <c r="E111" s="6">
        <v>0</v>
      </c>
      <c r="F111" s="44">
        <f t="shared" ref="F111:H122" si="7">C5+F5+I5+C20+F20+C35+I20+F35+I35+C50+F50+I50+C66+F66+I66+C81+F81+I81+C96+F96+I96+C111</f>
        <v>4771</v>
      </c>
      <c r="G111" s="40">
        <f t="shared" si="7"/>
        <v>12976</v>
      </c>
      <c r="H111" s="40">
        <f t="shared" si="7"/>
        <v>10059</v>
      </c>
    </row>
    <row r="112" spans="2:11">
      <c r="B112" s="35">
        <v>2</v>
      </c>
      <c r="C112" s="5">
        <v>0</v>
      </c>
      <c r="D112" s="6">
        <v>0</v>
      </c>
      <c r="E112" s="6">
        <v>0</v>
      </c>
      <c r="F112" s="44">
        <f t="shared" si="7"/>
        <v>14797</v>
      </c>
      <c r="G112" s="40">
        <f t="shared" si="7"/>
        <v>8162</v>
      </c>
      <c r="H112" s="40">
        <f t="shared" si="7"/>
        <v>8863</v>
      </c>
    </row>
    <row r="113" spans="2:8">
      <c r="B113" s="35">
        <v>3</v>
      </c>
      <c r="C113" s="5">
        <v>0</v>
      </c>
      <c r="D113" s="6">
        <v>0</v>
      </c>
      <c r="E113" s="6">
        <v>0</v>
      </c>
      <c r="F113" s="44">
        <f t="shared" si="7"/>
        <v>10834</v>
      </c>
      <c r="G113" s="40">
        <f t="shared" si="7"/>
        <v>20459</v>
      </c>
      <c r="H113" s="40">
        <f t="shared" si="7"/>
        <v>16723</v>
      </c>
    </row>
    <row r="114" spans="2:8">
      <c r="B114" s="35">
        <v>4</v>
      </c>
      <c r="C114" s="5">
        <v>0</v>
      </c>
      <c r="D114" s="6">
        <v>0</v>
      </c>
      <c r="E114" s="6">
        <v>0</v>
      </c>
      <c r="F114" s="44">
        <f t="shared" si="7"/>
        <v>59789</v>
      </c>
      <c r="G114" s="40">
        <f t="shared" si="7"/>
        <v>48363</v>
      </c>
      <c r="H114" s="40">
        <f t="shared" si="7"/>
        <v>72012</v>
      </c>
    </row>
    <row r="115" spans="2:8">
      <c r="B115" s="35">
        <v>5</v>
      </c>
      <c r="C115" s="5">
        <v>0</v>
      </c>
      <c r="D115" s="6">
        <v>0</v>
      </c>
      <c r="E115" s="6">
        <v>0</v>
      </c>
      <c r="F115" s="44">
        <f t="shared" si="7"/>
        <v>44219</v>
      </c>
      <c r="G115" s="40">
        <f t="shared" si="7"/>
        <v>68080</v>
      </c>
      <c r="H115" s="40">
        <f t="shared" si="7"/>
        <v>72953</v>
      </c>
    </row>
    <row r="116" spans="2:8">
      <c r="B116" s="35">
        <v>6</v>
      </c>
      <c r="C116" s="5">
        <v>0</v>
      </c>
      <c r="D116" s="6">
        <v>0</v>
      </c>
      <c r="E116" s="6">
        <v>0</v>
      </c>
      <c r="F116" s="44">
        <f t="shared" si="7"/>
        <v>28022</v>
      </c>
      <c r="G116" s="40">
        <f t="shared" si="7"/>
        <v>60054</v>
      </c>
      <c r="H116" s="40">
        <f t="shared" si="7"/>
        <v>81112</v>
      </c>
    </row>
    <row r="117" spans="2:8">
      <c r="B117" s="35">
        <v>7</v>
      </c>
      <c r="C117" s="5">
        <v>0</v>
      </c>
      <c r="D117" s="6">
        <v>0</v>
      </c>
      <c r="E117" s="6">
        <v>0</v>
      </c>
      <c r="F117" s="44">
        <f t="shared" si="7"/>
        <v>28044</v>
      </c>
      <c r="G117" s="40">
        <f t="shared" si="7"/>
        <v>35256</v>
      </c>
      <c r="H117" s="40">
        <f t="shared" si="7"/>
        <v>33231</v>
      </c>
    </row>
    <row r="118" spans="2:8">
      <c r="B118" s="35">
        <v>8</v>
      </c>
      <c r="C118" s="5">
        <v>0</v>
      </c>
      <c r="D118" s="6">
        <v>0</v>
      </c>
      <c r="E118" s="6">
        <v>0</v>
      </c>
      <c r="F118" s="44">
        <f t="shared" si="7"/>
        <v>21344</v>
      </c>
      <c r="G118" s="40">
        <f t="shared" si="7"/>
        <v>36904</v>
      </c>
      <c r="H118" s="40">
        <f t="shared" si="7"/>
        <v>15742</v>
      </c>
    </row>
    <row r="119" spans="2:8">
      <c r="B119" s="35">
        <v>9</v>
      </c>
      <c r="C119" s="5">
        <v>0</v>
      </c>
      <c r="D119" s="6">
        <v>0</v>
      </c>
      <c r="E119" s="6">
        <v>0</v>
      </c>
      <c r="F119" s="44">
        <f t="shared" si="7"/>
        <v>28989</v>
      </c>
      <c r="G119" s="40">
        <f t="shared" si="7"/>
        <v>22483</v>
      </c>
      <c r="H119" s="40">
        <f t="shared" si="7"/>
        <v>38781</v>
      </c>
    </row>
    <row r="120" spans="2:8">
      <c r="B120" s="35">
        <v>10</v>
      </c>
      <c r="C120" s="5">
        <v>0</v>
      </c>
      <c r="D120" s="6">
        <v>0</v>
      </c>
      <c r="E120" s="6">
        <v>0</v>
      </c>
      <c r="F120" s="44">
        <f t="shared" si="7"/>
        <v>44847</v>
      </c>
      <c r="G120" s="40">
        <f t="shared" si="7"/>
        <v>55972</v>
      </c>
      <c r="H120" s="40">
        <f t="shared" si="7"/>
        <v>61094</v>
      </c>
    </row>
    <row r="121" spans="2:8">
      <c r="B121" s="35">
        <v>11</v>
      </c>
      <c r="C121" s="5">
        <v>0</v>
      </c>
      <c r="D121" s="6">
        <v>0</v>
      </c>
      <c r="E121" s="6">
        <v>0</v>
      </c>
      <c r="F121" s="44">
        <f t="shared" si="7"/>
        <v>69315</v>
      </c>
      <c r="G121" s="40">
        <f t="shared" si="7"/>
        <v>121245</v>
      </c>
      <c r="H121" s="40">
        <f t="shared" si="7"/>
        <v>107039</v>
      </c>
    </row>
    <row r="122" spans="2:8">
      <c r="B122" s="35">
        <v>12</v>
      </c>
      <c r="C122" s="5">
        <v>0</v>
      </c>
      <c r="D122" s="6">
        <v>0</v>
      </c>
      <c r="E122" s="6">
        <v>0</v>
      </c>
      <c r="F122" s="44">
        <f t="shared" si="7"/>
        <v>72336</v>
      </c>
      <c r="G122" s="40">
        <f t="shared" si="7"/>
        <v>89218</v>
      </c>
      <c r="H122" s="40">
        <f t="shared" si="7"/>
        <v>76044</v>
      </c>
    </row>
    <row r="123" spans="2:8" ht="17.25" thickBot="1">
      <c r="B123" s="38" t="s">
        <v>31</v>
      </c>
      <c r="C123" s="11">
        <f t="shared" ref="C123:H123" si="8">SUM(C111:C122)</f>
        <v>0</v>
      </c>
      <c r="D123" s="12">
        <f t="shared" si="8"/>
        <v>0</v>
      </c>
      <c r="E123" s="12">
        <f t="shared" si="8"/>
        <v>0</v>
      </c>
      <c r="F123" s="45">
        <f t="shared" si="8"/>
        <v>427307</v>
      </c>
      <c r="G123" s="34">
        <f t="shared" si="8"/>
        <v>579172</v>
      </c>
      <c r="H123" s="34">
        <f t="shared" si="8"/>
        <v>593653</v>
      </c>
    </row>
  </sheetData>
  <mergeCells count="34">
    <mergeCell ref="B109:B110"/>
    <mergeCell ref="C109:E109"/>
    <mergeCell ref="F109:H109"/>
    <mergeCell ref="B79:B80"/>
    <mergeCell ref="C79:E79"/>
    <mergeCell ref="F79:H79"/>
    <mergeCell ref="I79:K79"/>
    <mergeCell ref="B94:B95"/>
    <mergeCell ref="C94:E94"/>
    <mergeCell ref="F94:H94"/>
    <mergeCell ref="I94:K94"/>
    <mergeCell ref="B48:B49"/>
    <mergeCell ref="C48:E48"/>
    <mergeCell ref="F48:H48"/>
    <mergeCell ref="I48:K48"/>
    <mergeCell ref="B63:K63"/>
    <mergeCell ref="B64:B65"/>
    <mergeCell ref="C64:E64"/>
    <mergeCell ref="F64:H64"/>
    <mergeCell ref="I64:K64"/>
    <mergeCell ref="B18:B19"/>
    <mergeCell ref="C18:E18"/>
    <mergeCell ref="F18:H18"/>
    <mergeCell ref="I18:K18"/>
    <mergeCell ref="B33:B34"/>
    <mergeCell ref="C33:E33"/>
    <mergeCell ref="F33:H33"/>
    <mergeCell ref="I33:K33"/>
    <mergeCell ref="B1:K1"/>
    <mergeCell ref="B2:K2"/>
    <mergeCell ref="B3:B4"/>
    <mergeCell ref="C3:E3"/>
    <mergeCell ref="F3:H3"/>
    <mergeCell ref="I3:K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4E6E-0336-41B0-A167-44A946575355}">
  <sheetPr>
    <tabColor theme="5" tint="0.79998168889431442"/>
  </sheetPr>
  <dimension ref="B1:K123"/>
  <sheetViews>
    <sheetView tabSelected="1" workbookViewId="0">
      <selection activeCell="H11" sqref="H11"/>
    </sheetView>
  </sheetViews>
  <sheetFormatPr defaultRowHeight="16.5"/>
  <cols>
    <col min="1" max="1" width="13.125" customWidth="1"/>
    <col min="2" max="2" width="12.625" style="13" customWidth="1"/>
    <col min="3" max="11" width="13.875" customWidth="1"/>
  </cols>
  <sheetData>
    <row r="1" spans="2:11" ht="21" thickBot="1">
      <c r="B1" s="72" t="s">
        <v>63</v>
      </c>
      <c r="C1" s="73"/>
      <c r="D1" s="73"/>
      <c r="E1" s="73"/>
      <c r="F1" s="73"/>
      <c r="G1" s="73"/>
      <c r="H1" s="73"/>
      <c r="I1" s="73"/>
      <c r="J1" s="73"/>
      <c r="K1" s="73"/>
    </row>
    <row r="2" spans="2:11" ht="18.75" customHeight="1" thickBot="1"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ht="18.75" customHeight="1">
      <c r="B3" s="78" t="s">
        <v>30</v>
      </c>
      <c r="C3" s="69" t="s">
        <v>2</v>
      </c>
      <c r="D3" s="68"/>
      <c r="E3" s="68"/>
      <c r="F3" s="69" t="s">
        <v>4</v>
      </c>
      <c r="G3" s="68"/>
      <c r="H3" s="68"/>
      <c r="I3" s="67" t="s">
        <v>11</v>
      </c>
      <c r="J3" s="68"/>
      <c r="K3" s="68"/>
    </row>
    <row r="4" spans="2:11" ht="18.75" customHeight="1">
      <c r="B4" s="70"/>
      <c r="C4" s="1">
        <v>2023</v>
      </c>
      <c r="D4" s="2">
        <v>2024</v>
      </c>
      <c r="E4" s="2">
        <v>2025</v>
      </c>
      <c r="F4" s="1">
        <v>2023</v>
      </c>
      <c r="G4" s="2">
        <v>2024</v>
      </c>
      <c r="H4" s="2">
        <v>2025</v>
      </c>
      <c r="I4" s="23">
        <v>2023</v>
      </c>
      <c r="J4" s="2">
        <v>2024</v>
      </c>
      <c r="K4" s="2">
        <v>2025</v>
      </c>
    </row>
    <row r="5" spans="2:11" ht="18.75" customHeight="1">
      <c r="B5" s="35">
        <v>1</v>
      </c>
      <c r="C5" s="5">
        <v>1</v>
      </c>
      <c r="D5" s="6">
        <v>6895</v>
      </c>
      <c r="E5" s="6">
        <v>3293</v>
      </c>
      <c r="F5" s="5">
        <v>199</v>
      </c>
      <c r="G5" s="6">
        <v>9575</v>
      </c>
      <c r="H5" s="6">
        <v>21880</v>
      </c>
      <c r="I5" s="24">
        <v>0</v>
      </c>
      <c r="J5" s="6">
        <v>1900</v>
      </c>
      <c r="K5" s="6">
        <v>121</v>
      </c>
    </row>
    <row r="6" spans="2:11" ht="18.75" customHeight="1">
      <c r="B6" s="35">
        <v>2</v>
      </c>
      <c r="C6" s="5">
        <v>381</v>
      </c>
      <c r="D6" s="6">
        <v>4839</v>
      </c>
      <c r="E6" s="6">
        <v>2379</v>
      </c>
      <c r="F6" s="5">
        <v>12865</v>
      </c>
      <c r="G6" s="6">
        <v>104500</v>
      </c>
      <c r="H6" s="6">
        <v>61462</v>
      </c>
      <c r="I6" s="24">
        <v>2622</v>
      </c>
      <c r="J6" s="6">
        <v>5316</v>
      </c>
      <c r="K6" s="6">
        <v>30425</v>
      </c>
    </row>
    <row r="7" spans="2:11" ht="18.75" customHeight="1">
      <c r="B7" s="35">
        <v>3</v>
      </c>
      <c r="C7" s="5">
        <v>39286</v>
      </c>
      <c r="D7" s="6">
        <v>2000</v>
      </c>
      <c r="E7" s="6">
        <v>4080</v>
      </c>
      <c r="F7" s="5">
        <v>4279</v>
      </c>
      <c r="G7" s="6">
        <v>35374</v>
      </c>
      <c r="H7" s="6">
        <v>69699</v>
      </c>
      <c r="I7" s="24">
        <v>5044</v>
      </c>
      <c r="J7" s="6">
        <v>4313</v>
      </c>
      <c r="K7" s="6">
        <v>11403</v>
      </c>
    </row>
    <row r="8" spans="2:11" ht="18.75" customHeight="1">
      <c r="B8" s="35">
        <v>4</v>
      </c>
      <c r="C8" s="5">
        <v>5250</v>
      </c>
      <c r="D8" s="6">
        <v>40</v>
      </c>
      <c r="E8" s="6">
        <v>433</v>
      </c>
      <c r="F8" s="5">
        <v>18234</v>
      </c>
      <c r="G8" s="6">
        <v>7210</v>
      </c>
      <c r="H8" s="6">
        <v>18024</v>
      </c>
      <c r="I8" s="24">
        <v>3419</v>
      </c>
      <c r="J8" s="6">
        <v>210</v>
      </c>
      <c r="K8" s="6">
        <v>2839</v>
      </c>
    </row>
    <row r="9" spans="2:11" ht="18.75" customHeight="1">
      <c r="B9" s="35">
        <v>5</v>
      </c>
      <c r="C9" s="5">
        <v>9105</v>
      </c>
      <c r="D9" s="6">
        <v>6692</v>
      </c>
      <c r="E9" s="6">
        <v>82086</v>
      </c>
      <c r="F9" s="5">
        <v>1741</v>
      </c>
      <c r="G9" s="6">
        <v>5452</v>
      </c>
      <c r="H9" s="6">
        <v>28256</v>
      </c>
      <c r="I9" s="24">
        <v>1438</v>
      </c>
      <c r="J9" s="6">
        <v>2877</v>
      </c>
      <c r="K9" s="6">
        <v>8239</v>
      </c>
    </row>
    <row r="10" spans="2:11" ht="18.75" customHeight="1">
      <c r="B10" s="35">
        <v>6</v>
      </c>
      <c r="C10" s="5">
        <v>105024</v>
      </c>
      <c r="D10" s="6">
        <v>9068</v>
      </c>
      <c r="E10" s="6">
        <v>270</v>
      </c>
      <c r="F10" s="5">
        <v>8946</v>
      </c>
      <c r="G10" s="6">
        <v>26097</v>
      </c>
      <c r="H10" s="6">
        <v>15336</v>
      </c>
      <c r="I10" s="24">
        <v>4482</v>
      </c>
      <c r="J10" s="6">
        <v>3141</v>
      </c>
      <c r="K10" s="6">
        <v>10676</v>
      </c>
    </row>
    <row r="11" spans="2:11" ht="18.75" customHeight="1">
      <c r="B11" s="35">
        <v>7</v>
      </c>
      <c r="C11" s="5">
        <v>34353</v>
      </c>
      <c r="D11" s="6">
        <v>721</v>
      </c>
      <c r="E11" s="6">
        <v>2731</v>
      </c>
      <c r="F11" s="5">
        <v>11438</v>
      </c>
      <c r="G11" s="6">
        <v>15433</v>
      </c>
      <c r="H11" s="6">
        <v>48242</v>
      </c>
      <c r="I11" s="24">
        <v>1758</v>
      </c>
      <c r="J11" s="6">
        <v>800</v>
      </c>
      <c r="K11" s="6">
        <v>3564</v>
      </c>
    </row>
    <row r="12" spans="2:11" ht="18.75" customHeight="1">
      <c r="B12" s="35">
        <v>8</v>
      </c>
      <c r="C12" s="5">
        <v>1853</v>
      </c>
      <c r="D12" s="6">
        <v>1751</v>
      </c>
      <c r="E12" s="6">
        <v>15624</v>
      </c>
      <c r="F12" s="5">
        <v>23776</v>
      </c>
      <c r="G12" s="6">
        <v>15215</v>
      </c>
      <c r="H12" s="6">
        <v>7852</v>
      </c>
      <c r="I12" s="24">
        <v>7309</v>
      </c>
      <c r="J12" s="6">
        <v>469</v>
      </c>
      <c r="K12" s="6">
        <v>3252</v>
      </c>
    </row>
    <row r="13" spans="2:11" ht="18.75" customHeight="1">
      <c r="B13" s="35">
        <v>9</v>
      </c>
      <c r="C13" s="5">
        <v>6278</v>
      </c>
      <c r="D13" s="6">
        <v>17285</v>
      </c>
      <c r="E13" s="6">
        <v>1194</v>
      </c>
      <c r="F13" s="5">
        <v>11831</v>
      </c>
      <c r="G13" s="6">
        <v>32161</v>
      </c>
      <c r="H13" s="6">
        <v>55501</v>
      </c>
      <c r="I13" s="24">
        <v>1955</v>
      </c>
      <c r="J13" s="6">
        <v>3588</v>
      </c>
      <c r="K13" s="6">
        <v>24041</v>
      </c>
    </row>
    <row r="14" spans="2:11" ht="18.75" customHeight="1">
      <c r="B14" s="35">
        <v>10</v>
      </c>
      <c r="C14" s="5">
        <v>7755</v>
      </c>
      <c r="D14" s="6">
        <v>338</v>
      </c>
      <c r="E14" s="6">
        <v>3150</v>
      </c>
      <c r="F14" s="5">
        <v>12171</v>
      </c>
      <c r="G14" s="6">
        <v>59881</v>
      </c>
      <c r="H14" s="6">
        <v>7235</v>
      </c>
      <c r="I14" s="24">
        <v>5788</v>
      </c>
      <c r="J14" s="6">
        <v>2163</v>
      </c>
      <c r="K14" s="6">
        <v>24184</v>
      </c>
    </row>
    <row r="15" spans="2:11" ht="18.75" customHeight="1">
      <c r="B15" s="35">
        <v>11</v>
      </c>
      <c r="C15" s="5">
        <v>1828</v>
      </c>
      <c r="D15" s="6">
        <v>80</v>
      </c>
      <c r="E15" s="6">
        <v>1545</v>
      </c>
      <c r="F15" s="5">
        <v>20278</v>
      </c>
      <c r="G15" s="6">
        <v>121952</v>
      </c>
      <c r="H15" s="6">
        <v>21811</v>
      </c>
      <c r="I15" s="24">
        <v>4273</v>
      </c>
      <c r="J15" s="6">
        <v>5134</v>
      </c>
      <c r="K15" s="6">
        <v>5846</v>
      </c>
    </row>
    <row r="16" spans="2:11" ht="18.75" customHeight="1">
      <c r="B16" s="35">
        <v>12</v>
      </c>
      <c r="C16" s="5">
        <v>14408</v>
      </c>
      <c r="D16" s="6">
        <v>24819</v>
      </c>
      <c r="E16" s="6">
        <v>15637</v>
      </c>
      <c r="F16" s="5">
        <v>10079</v>
      </c>
      <c r="G16" s="6">
        <v>32487</v>
      </c>
      <c r="H16" s="6">
        <v>40926</v>
      </c>
      <c r="I16" s="24">
        <v>9997</v>
      </c>
      <c r="J16" s="6">
        <v>3469</v>
      </c>
      <c r="K16" s="6">
        <v>6947</v>
      </c>
    </row>
    <row r="17" spans="2:11" s="14" customFormat="1" ht="18.75" customHeight="1" thickBot="1">
      <c r="B17" s="35" t="s">
        <v>31</v>
      </c>
      <c r="C17" s="11">
        <f>SUM(C5:C16)</f>
        <v>225522</v>
      </c>
      <c r="D17" s="12">
        <f t="shared" ref="D17:K17" si="0">SUM(D5:D16)</f>
        <v>74528</v>
      </c>
      <c r="E17" s="36">
        <f t="shared" si="0"/>
        <v>132422</v>
      </c>
      <c r="F17" s="11">
        <f t="shared" si="0"/>
        <v>135837</v>
      </c>
      <c r="G17" s="12">
        <f t="shared" si="0"/>
        <v>465337</v>
      </c>
      <c r="H17" s="12">
        <f t="shared" si="0"/>
        <v>396224</v>
      </c>
      <c r="I17" s="37">
        <f t="shared" si="0"/>
        <v>48085</v>
      </c>
      <c r="J17" s="12">
        <f t="shared" si="0"/>
        <v>33380</v>
      </c>
      <c r="K17" s="12">
        <f t="shared" si="0"/>
        <v>131537</v>
      </c>
    </row>
    <row r="18" spans="2:11">
      <c r="B18" s="70" t="s">
        <v>30</v>
      </c>
      <c r="C18" s="69" t="s">
        <v>3</v>
      </c>
      <c r="D18" s="68"/>
      <c r="E18" s="68"/>
      <c r="F18" s="69" t="s">
        <v>13</v>
      </c>
      <c r="G18" s="68"/>
      <c r="H18" s="68"/>
      <c r="I18" s="67" t="s">
        <v>14</v>
      </c>
      <c r="J18" s="68"/>
      <c r="K18" s="68"/>
    </row>
    <row r="19" spans="2:11">
      <c r="B19" s="70"/>
      <c r="C19" s="1">
        <v>2023</v>
      </c>
      <c r="D19" s="2">
        <v>2024</v>
      </c>
      <c r="E19" s="2">
        <v>2025</v>
      </c>
      <c r="F19" s="1">
        <v>2023</v>
      </c>
      <c r="G19" s="2">
        <v>2024</v>
      </c>
      <c r="H19" s="2">
        <v>2025</v>
      </c>
      <c r="I19" s="23">
        <v>2023</v>
      </c>
      <c r="J19" s="2">
        <v>2024</v>
      </c>
      <c r="K19" s="2">
        <v>2025</v>
      </c>
    </row>
    <row r="20" spans="2:11">
      <c r="B20" s="35">
        <v>1</v>
      </c>
      <c r="C20" s="5">
        <v>1605</v>
      </c>
      <c r="D20" s="6">
        <v>24644</v>
      </c>
      <c r="E20" s="6">
        <v>15861</v>
      </c>
      <c r="F20" s="5">
        <v>3976</v>
      </c>
      <c r="G20" s="6">
        <v>1623</v>
      </c>
      <c r="H20" s="6">
        <v>22661</v>
      </c>
      <c r="I20" s="24">
        <v>100</v>
      </c>
      <c r="J20" s="6">
        <v>1406</v>
      </c>
      <c r="K20" s="6">
        <v>1592</v>
      </c>
    </row>
    <row r="21" spans="2:11">
      <c r="B21" s="35">
        <v>2</v>
      </c>
      <c r="C21" s="5">
        <v>1284</v>
      </c>
      <c r="D21" s="6">
        <v>7579</v>
      </c>
      <c r="E21" s="6">
        <v>4616</v>
      </c>
      <c r="F21" s="5">
        <v>2746</v>
      </c>
      <c r="G21" s="6">
        <v>0</v>
      </c>
      <c r="H21" s="6">
        <v>1201</v>
      </c>
      <c r="I21" s="24">
        <v>98</v>
      </c>
      <c r="J21" s="6">
        <v>390</v>
      </c>
      <c r="K21" s="6">
        <v>10605</v>
      </c>
    </row>
    <row r="22" spans="2:11">
      <c r="B22" s="35">
        <v>3</v>
      </c>
      <c r="C22" s="5">
        <v>2078</v>
      </c>
      <c r="D22" s="6">
        <v>8424</v>
      </c>
      <c r="E22" s="6">
        <v>2368</v>
      </c>
      <c r="F22" s="5">
        <v>1098</v>
      </c>
      <c r="G22" s="6">
        <v>4808</v>
      </c>
      <c r="H22" s="6">
        <v>234</v>
      </c>
      <c r="I22" s="24">
        <v>0</v>
      </c>
      <c r="J22" s="6">
        <v>288</v>
      </c>
      <c r="K22" s="6">
        <v>1056</v>
      </c>
    </row>
    <row r="23" spans="2:11">
      <c r="B23" s="35">
        <v>4</v>
      </c>
      <c r="C23" s="5">
        <v>2201</v>
      </c>
      <c r="D23" s="6">
        <v>9096</v>
      </c>
      <c r="E23" s="6">
        <v>37657</v>
      </c>
      <c r="F23" s="5">
        <v>2039</v>
      </c>
      <c r="G23" s="6">
        <v>17</v>
      </c>
      <c r="H23" s="6">
        <v>720</v>
      </c>
      <c r="I23" s="24">
        <v>0</v>
      </c>
      <c r="J23" s="6">
        <v>1121</v>
      </c>
      <c r="K23" s="6">
        <v>7035</v>
      </c>
    </row>
    <row r="24" spans="2:11">
      <c r="B24" s="35">
        <v>5</v>
      </c>
      <c r="C24" s="5">
        <v>2455</v>
      </c>
      <c r="D24" s="6">
        <v>55483</v>
      </c>
      <c r="E24" s="6">
        <v>7148</v>
      </c>
      <c r="F24" s="5">
        <v>1573</v>
      </c>
      <c r="G24" s="6">
        <v>1755</v>
      </c>
      <c r="H24" s="6">
        <v>3139</v>
      </c>
      <c r="I24" s="24">
        <v>1941</v>
      </c>
      <c r="J24" s="6">
        <v>3454</v>
      </c>
      <c r="K24" s="6">
        <v>3255</v>
      </c>
    </row>
    <row r="25" spans="2:11">
      <c r="B25" s="35">
        <v>6</v>
      </c>
      <c r="C25" s="5">
        <v>6819</v>
      </c>
      <c r="D25" s="6">
        <v>11779</v>
      </c>
      <c r="E25" s="6">
        <v>98872</v>
      </c>
      <c r="F25" s="5">
        <v>41</v>
      </c>
      <c r="G25" s="6">
        <v>9345</v>
      </c>
      <c r="H25" s="6">
        <v>151</v>
      </c>
      <c r="I25" s="24">
        <v>2627</v>
      </c>
      <c r="J25" s="6">
        <v>38360</v>
      </c>
      <c r="K25" s="6">
        <v>350</v>
      </c>
    </row>
    <row r="26" spans="2:11">
      <c r="B26" s="35">
        <v>7</v>
      </c>
      <c r="C26" s="5">
        <v>2443</v>
      </c>
      <c r="D26" s="6">
        <v>4842</v>
      </c>
      <c r="E26" s="6">
        <v>33202</v>
      </c>
      <c r="F26" s="5">
        <v>2394</v>
      </c>
      <c r="G26" s="6">
        <v>9293</v>
      </c>
      <c r="H26" s="6">
        <v>4368</v>
      </c>
      <c r="I26" s="24">
        <v>2007</v>
      </c>
      <c r="J26" s="6">
        <v>3311</v>
      </c>
      <c r="K26" s="6">
        <v>90</v>
      </c>
    </row>
    <row r="27" spans="2:11">
      <c r="B27" s="35">
        <v>8</v>
      </c>
      <c r="C27" s="5">
        <v>15872</v>
      </c>
      <c r="D27" s="6">
        <v>5293</v>
      </c>
      <c r="E27" s="6">
        <v>781</v>
      </c>
      <c r="F27" s="5">
        <v>5466</v>
      </c>
      <c r="G27" s="6">
        <v>2569</v>
      </c>
      <c r="H27" s="6">
        <v>4129</v>
      </c>
      <c r="I27" s="24">
        <v>1503</v>
      </c>
      <c r="J27" s="6">
        <v>126</v>
      </c>
      <c r="K27" s="6">
        <v>1276</v>
      </c>
    </row>
    <row r="28" spans="2:11">
      <c r="B28" s="35">
        <v>9</v>
      </c>
      <c r="C28" s="5">
        <v>4918</v>
      </c>
      <c r="D28" s="6">
        <v>3638</v>
      </c>
      <c r="E28" s="6">
        <v>4290</v>
      </c>
      <c r="F28" s="5">
        <v>5508</v>
      </c>
      <c r="G28" s="6">
        <v>31</v>
      </c>
      <c r="H28" s="6">
        <v>3585</v>
      </c>
      <c r="I28" s="24">
        <v>18398</v>
      </c>
      <c r="J28" s="6">
        <v>3886</v>
      </c>
      <c r="K28" s="6">
        <v>3459</v>
      </c>
    </row>
    <row r="29" spans="2:11">
      <c r="B29" s="35">
        <v>10</v>
      </c>
      <c r="C29" s="5">
        <v>5366</v>
      </c>
      <c r="D29" s="6">
        <v>7436</v>
      </c>
      <c r="E29" s="6">
        <v>3071</v>
      </c>
      <c r="F29" s="5">
        <v>11987</v>
      </c>
      <c r="G29" s="6">
        <v>158</v>
      </c>
      <c r="H29" s="6">
        <v>9794</v>
      </c>
      <c r="I29" s="24">
        <v>9614</v>
      </c>
      <c r="J29" s="6">
        <v>110</v>
      </c>
      <c r="K29" s="6">
        <v>1476</v>
      </c>
    </row>
    <row r="30" spans="2:11">
      <c r="B30" s="35">
        <v>11</v>
      </c>
      <c r="C30" s="5">
        <v>2745</v>
      </c>
      <c r="D30" s="6">
        <v>15172</v>
      </c>
      <c r="E30" s="6">
        <v>7553</v>
      </c>
      <c r="F30" s="5">
        <v>1523</v>
      </c>
      <c r="G30" s="6">
        <v>724</v>
      </c>
      <c r="H30" s="6">
        <v>23998</v>
      </c>
      <c r="I30" s="24">
        <v>4874</v>
      </c>
      <c r="J30" s="6">
        <v>2267</v>
      </c>
      <c r="K30" s="6">
        <v>104</v>
      </c>
    </row>
    <row r="31" spans="2:11">
      <c r="B31" s="35">
        <v>12</v>
      </c>
      <c r="C31" s="5">
        <v>61704</v>
      </c>
      <c r="D31" s="6">
        <v>6300</v>
      </c>
      <c r="E31" s="6">
        <v>5795</v>
      </c>
      <c r="F31" s="5">
        <v>17104</v>
      </c>
      <c r="G31" s="6">
        <v>3382</v>
      </c>
      <c r="H31" s="6">
        <v>16395</v>
      </c>
      <c r="I31" s="24">
        <v>6311</v>
      </c>
      <c r="J31" s="6">
        <v>1725</v>
      </c>
      <c r="K31" s="6">
        <v>5370</v>
      </c>
    </row>
    <row r="32" spans="2:11" s="14" customFormat="1" ht="17.25" thickBot="1">
      <c r="B32" s="35" t="s">
        <v>31</v>
      </c>
      <c r="C32" s="11">
        <f t="shared" ref="C32:K32" si="1">SUM(C20:C31)</f>
        <v>109490</v>
      </c>
      <c r="D32" s="12">
        <f t="shared" si="1"/>
        <v>159686</v>
      </c>
      <c r="E32" s="36">
        <f t="shared" si="1"/>
        <v>221214</v>
      </c>
      <c r="F32" s="11">
        <f t="shared" si="1"/>
        <v>55455</v>
      </c>
      <c r="G32" s="12">
        <f t="shared" si="1"/>
        <v>33705</v>
      </c>
      <c r="H32" s="12">
        <f t="shared" si="1"/>
        <v>90375</v>
      </c>
      <c r="I32" s="37">
        <f t="shared" si="1"/>
        <v>47473</v>
      </c>
      <c r="J32" s="12">
        <f t="shared" si="1"/>
        <v>56444</v>
      </c>
      <c r="K32" s="12">
        <f t="shared" si="1"/>
        <v>35668</v>
      </c>
    </row>
    <row r="33" spans="2:11">
      <c r="B33" s="70" t="s">
        <v>30</v>
      </c>
      <c r="C33" s="69" t="s">
        <v>12</v>
      </c>
      <c r="D33" s="68"/>
      <c r="E33" s="68"/>
      <c r="F33" s="69" t="s">
        <v>15</v>
      </c>
      <c r="G33" s="68"/>
      <c r="H33" s="68"/>
      <c r="I33" s="67" t="s">
        <v>37</v>
      </c>
      <c r="J33" s="68"/>
      <c r="K33" s="68"/>
    </row>
    <row r="34" spans="2:11">
      <c r="B34" s="70"/>
      <c r="C34" s="1">
        <v>2023</v>
      </c>
      <c r="D34" s="2">
        <v>2024</v>
      </c>
      <c r="E34" s="2">
        <v>2025</v>
      </c>
      <c r="F34" s="1">
        <v>2023</v>
      </c>
      <c r="G34" s="2">
        <v>2024</v>
      </c>
      <c r="H34" s="2">
        <v>2025</v>
      </c>
      <c r="I34" s="23">
        <v>2023</v>
      </c>
      <c r="J34" s="2">
        <v>2024</v>
      </c>
      <c r="K34" s="2">
        <v>2025</v>
      </c>
    </row>
    <row r="35" spans="2:11">
      <c r="B35" s="35">
        <v>1</v>
      </c>
      <c r="C35" s="5">
        <v>12</v>
      </c>
      <c r="D35" s="6">
        <v>1687</v>
      </c>
      <c r="E35" s="6">
        <v>664</v>
      </c>
      <c r="F35" s="5">
        <v>0</v>
      </c>
      <c r="G35" s="6">
        <v>2754</v>
      </c>
      <c r="H35" s="6">
        <v>71</v>
      </c>
      <c r="I35" s="24">
        <v>0</v>
      </c>
      <c r="J35" s="6">
        <v>0</v>
      </c>
      <c r="K35" s="6">
        <v>0</v>
      </c>
    </row>
    <row r="36" spans="2:11">
      <c r="B36" s="35">
        <v>2</v>
      </c>
      <c r="C36" s="5">
        <v>675</v>
      </c>
      <c r="D36" s="6">
        <v>39260</v>
      </c>
      <c r="E36" s="6">
        <v>1812</v>
      </c>
      <c r="F36" s="5">
        <v>0</v>
      </c>
      <c r="G36" s="6">
        <v>0</v>
      </c>
      <c r="H36" s="6">
        <v>0</v>
      </c>
      <c r="I36" s="24">
        <v>0</v>
      </c>
      <c r="J36" s="6">
        <v>0</v>
      </c>
      <c r="K36" s="6">
        <v>0</v>
      </c>
    </row>
    <row r="37" spans="2:11">
      <c r="B37" s="35">
        <v>3</v>
      </c>
      <c r="C37" s="5">
        <v>0</v>
      </c>
      <c r="D37" s="6">
        <v>0</v>
      </c>
      <c r="E37" s="6">
        <v>0</v>
      </c>
      <c r="F37" s="5">
        <v>0</v>
      </c>
      <c r="G37" s="6">
        <v>100</v>
      </c>
      <c r="H37" s="6">
        <v>0</v>
      </c>
      <c r="I37" s="24">
        <v>0</v>
      </c>
      <c r="J37" s="6">
        <v>2441</v>
      </c>
      <c r="K37" s="6">
        <v>1214</v>
      </c>
    </row>
    <row r="38" spans="2:11">
      <c r="B38" s="35">
        <v>4</v>
      </c>
      <c r="C38" s="5">
        <v>0</v>
      </c>
      <c r="D38" s="6">
        <v>3769</v>
      </c>
      <c r="E38" s="6">
        <v>0</v>
      </c>
      <c r="F38" s="5">
        <v>0</v>
      </c>
      <c r="G38" s="6">
        <v>0</v>
      </c>
      <c r="H38" s="6">
        <v>2038</v>
      </c>
      <c r="I38" s="24">
        <v>0</v>
      </c>
      <c r="J38" s="6">
        <v>2940</v>
      </c>
      <c r="K38" s="6">
        <v>4431</v>
      </c>
    </row>
    <row r="39" spans="2:11">
      <c r="B39" s="35">
        <v>5</v>
      </c>
      <c r="C39" s="5">
        <v>0</v>
      </c>
      <c r="D39" s="6">
        <v>230</v>
      </c>
      <c r="E39" s="6">
        <v>280</v>
      </c>
      <c r="F39" s="5">
        <v>0</v>
      </c>
      <c r="G39" s="6">
        <v>0</v>
      </c>
      <c r="H39" s="6">
        <v>2813</v>
      </c>
      <c r="I39" s="24">
        <v>0</v>
      </c>
      <c r="J39" s="6">
        <v>0</v>
      </c>
      <c r="K39" s="6">
        <v>0</v>
      </c>
    </row>
    <row r="40" spans="2:11">
      <c r="B40" s="35">
        <v>6</v>
      </c>
      <c r="C40" s="5">
        <v>0</v>
      </c>
      <c r="D40" s="6">
        <v>0</v>
      </c>
      <c r="E40" s="6">
        <v>2847</v>
      </c>
      <c r="F40" s="5">
        <v>0</v>
      </c>
      <c r="G40" s="6">
        <v>0</v>
      </c>
      <c r="H40" s="6">
        <v>429</v>
      </c>
      <c r="I40" s="24">
        <v>0</v>
      </c>
      <c r="J40" s="6">
        <v>0</v>
      </c>
      <c r="K40" s="6">
        <v>1400</v>
      </c>
    </row>
    <row r="41" spans="2:11">
      <c r="B41" s="35">
        <v>7</v>
      </c>
      <c r="C41" s="5">
        <v>600</v>
      </c>
      <c r="D41" s="6">
        <v>1378</v>
      </c>
      <c r="E41" s="6">
        <v>3401</v>
      </c>
      <c r="F41" s="5">
        <v>5</v>
      </c>
      <c r="G41" s="6">
        <v>0</v>
      </c>
      <c r="H41" s="6">
        <v>82</v>
      </c>
      <c r="I41" s="24">
        <v>0</v>
      </c>
      <c r="J41" s="6">
        <v>457</v>
      </c>
      <c r="K41" s="6">
        <v>2391</v>
      </c>
    </row>
    <row r="42" spans="2:11">
      <c r="B42" s="35">
        <v>8</v>
      </c>
      <c r="C42" s="5">
        <v>0</v>
      </c>
      <c r="D42" s="6">
        <v>1850</v>
      </c>
      <c r="E42" s="6">
        <v>643</v>
      </c>
      <c r="F42" s="5">
        <v>1</v>
      </c>
      <c r="G42" s="6">
        <v>0</v>
      </c>
      <c r="H42" s="6">
        <v>0</v>
      </c>
      <c r="I42" s="24">
        <v>0</v>
      </c>
      <c r="J42" s="6">
        <v>0</v>
      </c>
      <c r="K42" s="6">
        <v>431</v>
      </c>
    </row>
    <row r="43" spans="2:11">
      <c r="B43" s="35">
        <v>9</v>
      </c>
      <c r="C43" s="5">
        <v>8952</v>
      </c>
      <c r="D43" s="6">
        <v>416</v>
      </c>
      <c r="E43" s="6">
        <v>5318</v>
      </c>
      <c r="F43" s="5">
        <v>0</v>
      </c>
      <c r="G43" s="6">
        <v>605</v>
      </c>
      <c r="H43" s="6">
        <v>43</v>
      </c>
      <c r="I43" s="24">
        <v>776</v>
      </c>
      <c r="J43" s="6">
        <v>0</v>
      </c>
      <c r="K43" s="6">
        <v>12666</v>
      </c>
    </row>
    <row r="44" spans="2:11">
      <c r="B44" s="35">
        <v>10</v>
      </c>
      <c r="C44" s="5">
        <v>41</v>
      </c>
      <c r="D44" s="6">
        <v>7390</v>
      </c>
      <c r="E44" s="6">
        <v>14108</v>
      </c>
      <c r="F44" s="5">
        <v>1933</v>
      </c>
      <c r="G44" s="6">
        <v>0</v>
      </c>
      <c r="H44" s="6">
        <v>2035</v>
      </c>
      <c r="I44" s="24">
        <v>0</v>
      </c>
      <c r="J44" s="6">
        <v>1193</v>
      </c>
      <c r="K44" s="6">
        <v>727</v>
      </c>
    </row>
    <row r="45" spans="2:11">
      <c r="B45" s="35">
        <v>11</v>
      </c>
      <c r="C45" s="5">
        <v>545</v>
      </c>
      <c r="D45" s="6">
        <v>1512</v>
      </c>
      <c r="E45" s="6">
        <v>4889</v>
      </c>
      <c r="F45" s="5">
        <v>531</v>
      </c>
      <c r="G45" s="6">
        <v>42</v>
      </c>
      <c r="H45" s="6">
        <v>432</v>
      </c>
      <c r="I45" s="24">
        <v>0</v>
      </c>
      <c r="J45" s="6">
        <v>0</v>
      </c>
      <c r="K45" s="6">
        <v>4658</v>
      </c>
    </row>
    <row r="46" spans="2:11">
      <c r="B46" s="35">
        <v>12</v>
      </c>
      <c r="C46" s="5">
        <v>0</v>
      </c>
      <c r="D46" s="6">
        <v>3768</v>
      </c>
      <c r="E46" s="6">
        <v>42110</v>
      </c>
      <c r="F46" s="5">
        <v>0</v>
      </c>
      <c r="G46" s="6">
        <v>0</v>
      </c>
      <c r="H46" s="6">
        <v>2184</v>
      </c>
      <c r="I46" s="24">
        <v>0</v>
      </c>
      <c r="J46" s="6">
        <v>0</v>
      </c>
      <c r="K46" s="6">
        <v>0</v>
      </c>
    </row>
    <row r="47" spans="2:11" s="14" customFormat="1" ht="17.25" thickBot="1">
      <c r="B47" s="35" t="s">
        <v>31</v>
      </c>
      <c r="C47" s="11">
        <f t="shared" ref="C47:K47" si="2">SUM(C35:C46)</f>
        <v>10825</v>
      </c>
      <c r="D47" s="12">
        <f t="shared" si="2"/>
        <v>61260</v>
      </c>
      <c r="E47" s="12">
        <f t="shared" si="2"/>
        <v>76072</v>
      </c>
      <c r="F47" s="11">
        <f>SUM(F35:F46)</f>
        <v>2470</v>
      </c>
      <c r="G47" s="12">
        <f t="shared" si="2"/>
        <v>3501</v>
      </c>
      <c r="H47" s="12">
        <f t="shared" si="2"/>
        <v>10127</v>
      </c>
      <c r="I47" s="37">
        <f t="shared" si="2"/>
        <v>776</v>
      </c>
      <c r="J47" s="12">
        <f t="shared" si="2"/>
        <v>7031</v>
      </c>
      <c r="K47" s="12">
        <f t="shared" si="2"/>
        <v>27918</v>
      </c>
    </row>
    <row r="48" spans="2:11">
      <c r="B48" s="70" t="s">
        <v>30</v>
      </c>
      <c r="C48" s="69" t="s">
        <v>16</v>
      </c>
      <c r="D48" s="68"/>
      <c r="E48" s="68"/>
      <c r="F48" s="69" t="s">
        <v>17</v>
      </c>
      <c r="G48" s="68"/>
      <c r="H48" s="68"/>
      <c r="I48" s="67" t="s">
        <v>18</v>
      </c>
      <c r="J48" s="68"/>
      <c r="K48" s="68"/>
    </row>
    <row r="49" spans="2:11">
      <c r="B49" s="70"/>
      <c r="C49" s="1">
        <v>2023</v>
      </c>
      <c r="D49" s="2">
        <v>2024</v>
      </c>
      <c r="E49" s="2">
        <v>2025</v>
      </c>
      <c r="F49" s="1">
        <v>2023</v>
      </c>
      <c r="G49" s="2">
        <v>2024</v>
      </c>
      <c r="H49" s="2">
        <v>2025</v>
      </c>
      <c r="I49" s="23">
        <v>2023</v>
      </c>
      <c r="J49" s="2">
        <v>2024</v>
      </c>
      <c r="K49" s="2">
        <v>2025</v>
      </c>
    </row>
    <row r="50" spans="2:11">
      <c r="B50" s="35">
        <v>1</v>
      </c>
      <c r="C50" s="5">
        <v>0</v>
      </c>
      <c r="D50" s="6">
        <v>3200</v>
      </c>
      <c r="E50" s="6">
        <v>0</v>
      </c>
      <c r="F50" s="5">
        <v>0</v>
      </c>
      <c r="G50" s="6">
        <v>0</v>
      </c>
      <c r="H50" s="6">
        <v>1272</v>
      </c>
      <c r="I50" s="24">
        <v>0</v>
      </c>
      <c r="J50" s="6">
        <v>0</v>
      </c>
      <c r="K50" s="6">
        <v>0</v>
      </c>
    </row>
    <row r="51" spans="2:11">
      <c r="B51" s="35">
        <v>2</v>
      </c>
      <c r="C51" s="5">
        <v>0</v>
      </c>
      <c r="D51" s="6">
        <v>0</v>
      </c>
      <c r="E51" s="6">
        <v>0</v>
      </c>
      <c r="F51" s="5">
        <v>0</v>
      </c>
      <c r="G51" s="6">
        <v>0</v>
      </c>
      <c r="H51" s="6">
        <v>1101</v>
      </c>
      <c r="I51" s="24">
        <v>0</v>
      </c>
      <c r="J51" s="6">
        <v>0</v>
      </c>
      <c r="K51" s="6">
        <v>0</v>
      </c>
    </row>
    <row r="52" spans="2:11">
      <c r="B52" s="35">
        <v>3</v>
      </c>
      <c r="C52" s="5">
        <v>0</v>
      </c>
      <c r="D52" s="6">
        <v>0</v>
      </c>
      <c r="E52" s="6">
        <v>2513</v>
      </c>
      <c r="F52" s="5">
        <v>0</v>
      </c>
      <c r="G52" s="6">
        <v>0</v>
      </c>
      <c r="H52" s="6">
        <v>10505</v>
      </c>
      <c r="I52" s="24">
        <v>0</v>
      </c>
      <c r="J52" s="6">
        <v>0</v>
      </c>
      <c r="K52" s="6">
        <v>0</v>
      </c>
    </row>
    <row r="53" spans="2:11">
      <c r="B53" s="35">
        <v>4</v>
      </c>
      <c r="C53" s="5">
        <v>0</v>
      </c>
      <c r="D53" s="6">
        <v>0</v>
      </c>
      <c r="E53" s="6">
        <v>13054</v>
      </c>
      <c r="F53" s="5">
        <v>0</v>
      </c>
      <c r="G53" s="6">
        <v>5</v>
      </c>
      <c r="H53" s="6">
        <v>1462</v>
      </c>
      <c r="I53" s="24">
        <v>0</v>
      </c>
      <c r="J53" s="6">
        <v>0</v>
      </c>
      <c r="K53" s="6">
        <v>0</v>
      </c>
    </row>
    <row r="54" spans="2:11">
      <c r="B54" s="35">
        <v>5</v>
      </c>
      <c r="C54" s="5">
        <v>0</v>
      </c>
      <c r="D54" s="6">
        <v>0</v>
      </c>
      <c r="E54" s="6">
        <v>959</v>
      </c>
      <c r="F54" s="5">
        <v>0</v>
      </c>
      <c r="G54" s="6">
        <v>950</v>
      </c>
      <c r="H54" s="6">
        <v>821</v>
      </c>
      <c r="I54" s="24">
        <v>0</v>
      </c>
      <c r="J54" s="6">
        <v>0</v>
      </c>
      <c r="K54" s="6">
        <v>0</v>
      </c>
    </row>
    <row r="55" spans="2:11">
      <c r="B55" s="35">
        <v>6</v>
      </c>
      <c r="C55" s="5">
        <v>0</v>
      </c>
      <c r="D55" s="6">
        <v>0</v>
      </c>
      <c r="E55" s="6">
        <v>1319</v>
      </c>
      <c r="F55" s="5">
        <v>0</v>
      </c>
      <c r="G55" s="6">
        <v>10962</v>
      </c>
      <c r="H55" s="6">
        <v>6050</v>
      </c>
      <c r="I55" s="24">
        <v>0</v>
      </c>
      <c r="J55" s="6">
        <v>0</v>
      </c>
      <c r="K55" s="6">
        <v>706</v>
      </c>
    </row>
    <row r="56" spans="2:11">
      <c r="B56" s="35">
        <v>7</v>
      </c>
      <c r="C56" s="5">
        <v>0</v>
      </c>
      <c r="D56" s="6">
        <v>37</v>
      </c>
      <c r="E56" s="6">
        <v>1311</v>
      </c>
      <c r="F56" s="5">
        <v>0</v>
      </c>
      <c r="G56" s="6">
        <v>13284</v>
      </c>
      <c r="H56" s="6">
        <v>210</v>
      </c>
      <c r="I56" s="24">
        <v>0</v>
      </c>
      <c r="J56" s="6">
        <v>0</v>
      </c>
      <c r="K56" s="6">
        <v>2750</v>
      </c>
    </row>
    <row r="57" spans="2:11">
      <c r="B57" s="35">
        <v>8</v>
      </c>
      <c r="C57" s="5">
        <v>0</v>
      </c>
      <c r="D57" s="6">
        <v>460</v>
      </c>
      <c r="E57" s="6">
        <v>5578</v>
      </c>
      <c r="F57" s="5">
        <v>0</v>
      </c>
      <c r="G57" s="6">
        <v>2432</v>
      </c>
      <c r="H57" s="6">
        <v>13</v>
      </c>
      <c r="I57" s="24">
        <v>0</v>
      </c>
      <c r="J57" s="6">
        <v>0</v>
      </c>
      <c r="K57" s="6">
        <v>0</v>
      </c>
    </row>
    <row r="58" spans="2:11">
      <c r="B58" s="35">
        <v>9</v>
      </c>
      <c r="C58" s="5">
        <v>0</v>
      </c>
      <c r="D58" s="6">
        <v>0</v>
      </c>
      <c r="E58" s="6">
        <v>5760</v>
      </c>
      <c r="F58" s="5">
        <v>0</v>
      </c>
      <c r="G58" s="6">
        <v>14038</v>
      </c>
      <c r="H58" s="6">
        <v>162</v>
      </c>
      <c r="I58" s="24">
        <v>0</v>
      </c>
      <c r="J58" s="6">
        <v>0</v>
      </c>
      <c r="K58" s="6">
        <v>3433</v>
      </c>
    </row>
    <row r="59" spans="2:11">
      <c r="B59" s="35">
        <v>10</v>
      </c>
      <c r="C59" s="5">
        <v>3000</v>
      </c>
      <c r="D59" s="6">
        <v>0</v>
      </c>
      <c r="E59" s="6">
        <v>482</v>
      </c>
      <c r="F59" s="5">
        <v>0</v>
      </c>
      <c r="G59" s="6">
        <v>15561</v>
      </c>
      <c r="H59" s="6">
        <v>100</v>
      </c>
      <c r="I59" s="24">
        <v>0</v>
      </c>
      <c r="J59" s="6">
        <v>0</v>
      </c>
      <c r="K59" s="6">
        <v>0</v>
      </c>
    </row>
    <row r="60" spans="2:11">
      <c r="B60" s="35">
        <v>11</v>
      </c>
      <c r="C60" s="5">
        <v>0</v>
      </c>
      <c r="D60" s="6">
        <v>23200</v>
      </c>
      <c r="E60" s="6">
        <v>1874</v>
      </c>
      <c r="F60" s="5">
        <v>0</v>
      </c>
      <c r="G60" s="6">
        <v>711</v>
      </c>
      <c r="H60" s="6">
        <v>0</v>
      </c>
      <c r="I60" s="24">
        <v>0</v>
      </c>
      <c r="J60" s="6">
        <v>0</v>
      </c>
      <c r="K60" s="6">
        <v>3199</v>
      </c>
    </row>
    <row r="61" spans="2:11">
      <c r="B61" s="35">
        <v>12</v>
      </c>
      <c r="C61" s="5">
        <v>300</v>
      </c>
      <c r="D61" s="6">
        <v>615</v>
      </c>
      <c r="E61" s="6">
        <v>6519</v>
      </c>
      <c r="F61" s="5">
        <v>0</v>
      </c>
      <c r="G61" s="6">
        <v>6622</v>
      </c>
      <c r="H61" s="6">
        <v>750</v>
      </c>
      <c r="I61" s="24">
        <v>0</v>
      </c>
      <c r="J61" s="6">
        <v>0</v>
      </c>
      <c r="K61" s="6">
        <v>11171</v>
      </c>
    </row>
    <row r="62" spans="2:11" s="14" customFormat="1" ht="17.25" thickBot="1">
      <c r="B62" s="35" t="s">
        <v>31</v>
      </c>
      <c r="C62" s="12">
        <f t="shared" ref="C62:K62" si="3">SUM(C50:C61)</f>
        <v>3300</v>
      </c>
      <c r="D62" s="12">
        <f t="shared" si="3"/>
        <v>27512</v>
      </c>
      <c r="E62" s="12">
        <f t="shared" si="3"/>
        <v>39369</v>
      </c>
      <c r="F62" s="11">
        <f t="shared" si="3"/>
        <v>0</v>
      </c>
      <c r="G62" s="12">
        <f t="shared" si="3"/>
        <v>64565</v>
      </c>
      <c r="H62" s="12">
        <f t="shared" si="3"/>
        <v>22446</v>
      </c>
      <c r="I62" s="37">
        <f t="shared" si="3"/>
        <v>0</v>
      </c>
      <c r="J62" s="12">
        <f t="shared" si="3"/>
        <v>0</v>
      </c>
      <c r="K62" s="12">
        <f t="shared" si="3"/>
        <v>21259</v>
      </c>
    </row>
    <row r="63" spans="2:11" ht="21" thickBot="1">
      <c r="B63" s="76" t="s">
        <v>19</v>
      </c>
      <c r="C63" s="77"/>
      <c r="D63" s="77"/>
      <c r="E63" s="77"/>
      <c r="F63" s="77"/>
      <c r="G63" s="77"/>
      <c r="H63" s="77"/>
      <c r="I63" s="77"/>
      <c r="J63" s="77"/>
      <c r="K63" s="77"/>
    </row>
    <row r="64" spans="2:11">
      <c r="B64" s="70" t="s">
        <v>30</v>
      </c>
      <c r="C64" s="69" t="s">
        <v>21</v>
      </c>
      <c r="D64" s="68"/>
      <c r="E64" s="68"/>
      <c r="F64" s="69" t="s">
        <v>23</v>
      </c>
      <c r="G64" s="68"/>
      <c r="H64" s="68"/>
      <c r="I64" s="67" t="s">
        <v>20</v>
      </c>
      <c r="J64" s="68"/>
      <c r="K64" s="68"/>
    </row>
    <row r="65" spans="2:11">
      <c r="B65" s="70"/>
      <c r="C65" s="1">
        <v>2023</v>
      </c>
      <c r="D65" s="2">
        <v>2024</v>
      </c>
      <c r="E65" s="2">
        <v>2025</v>
      </c>
      <c r="F65" s="1">
        <v>2023</v>
      </c>
      <c r="G65" s="2">
        <v>2024</v>
      </c>
      <c r="H65" s="2">
        <v>2025</v>
      </c>
      <c r="I65" s="23">
        <v>2023</v>
      </c>
      <c r="J65" s="2">
        <v>2024</v>
      </c>
      <c r="K65" s="2">
        <v>2025</v>
      </c>
    </row>
    <row r="66" spans="2:11">
      <c r="B66" s="35">
        <v>1</v>
      </c>
      <c r="C66" s="5">
        <v>0</v>
      </c>
      <c r="D66" s="6">
        <v>0</v>
      </c>
      <c r="E66" s="6">
        <v>0</v>
      </c>
      <c r="F66" s="5">
        <v>0</v>
      </c>
      <c r="G66" s="6">
        <v>0</v>
      </c>
      <c r="H66" s="6">
        <v>0</v>
      </c>
      <c r="I66" s="24">
        <v>0</v>
      </c>
      <c r="J66" s="6">
        <v>0</v>
      </c>
      <c r="K66" s="6">
        <v>80</v>
      </c>
    </row>
    <row r="67" spans="2:11">
      <c r="B67" s="35">
        <v>2</v>
      </c>
      <c r="C67" s="5">
        <v>0</v>
      </c>
      <c r="D67" s="6">
        <v>0</v>
      </c>
      <c r="E67" s="6">
        <v>2959</v>
      </c>
      <c r="F67" s="5">
        <v>0</v>
      </c>
      <c r="G67" s="6">
        <v>0</v>
      </c>
      <c r="H67" s="6">
        <v>0</v>
      </c>
      <c r="I67" s="24">
        <v>0</v>
      </c>
      <c r="J67" s="6">
        <v>0</v>
      </c>
      <c r="K67" s="6">
        <v>80</v>
      </c>
    </row>
    <row r="68" spans="2:11">
      <c r="B68" s="35">
        <v>3</v>
      </c>
      <c r="C68" s="5">
        <v>0</v>
      </c>
      <c r="D68" s="6">
        <v>0</v>
      </c>
      <c r="E68" s="6">
        <v>0</v>
      </c>
      <c r="F68" s="5">
        <v>0</v>
      </c>
      <c r="G68" s="6">
        <v>0</v>
      </c>
      <c r="H68" s="6">
        <v>27054</v>
      </c>
      <c r="I68" s="24">
        <v>80</v>
      </c>
      <c r="J68" s="6">
        <v>0</v>
      </c>
      <c r="K68" s="6">
        <v>80</v>
      </c>
    </row>
    <row r="69" spans="2:11">
      <c r="B69" s="35">
        <v>4</v>
      </c>
      <c r="C69" s="5">
        <v>6872</v>
      </c>
      <c r="D69" s="6">
        <v>1</v>
      </c>
      <c r="E69" s="6">
        <v>0</v>
      </c>
      <c r="F69" s="5">
        <v>0</v>
      </c>
      <c r="G69" s="6">
        <v>0</v>
      </c>
      <c r="H69" s="6">
        <v>15888</v>
      </c>
      <c r="I69" s="24">
        <v>952</v>
      </c>
      <c r="J69" s="6">
        <v>0</v>
      </c>
      <c r="K69" s="6">
        <v>2000</v>
      </c>
    </row>
    <row r="70" spans="2:11">
      <c r="B70" s="35">
        <v>5</v>
      </c>
      <c r="C70" s="5">
        <v>0</v>
      </c>
      <c r="D70" s="6">
        <v>0</v>
      </c>
      <c r="E70" s="6">
        <v>0</v>
      </c>
      <c r="F70" s="5">
        <v>0</v>
      </c>
      <c r="G70" s="6">
        <v>0</v>
      </c>
      <c r="H70" s="6">
        <v>861</v>
      </c>
      <c r="I70" s="24">
        <v>1743</v>
      </c>
      <c r="J70" s="6">
        <v>0</v>
      </c>
      <c r="K70" s="6">
        <v>3440</v>
      </c>
    </row>
    <row r="71" spans="2:11">
      <c r="B71" s="35">
        <v>6</v>
      </c>
      <c r="C71" s="5">
        <v>0</v>
      </c>
      <c r="D71" s="6">
        <v>8400</v>
      </c>
      <c r="E71" s="6">
        <v>0</v>
      </c>
      <c r="F71" s="5">
        <v>0</v>
      </c>
      <c r="G71" s="6">
        <v>0</v>
      </c>
      <c r="H71" s="6">
        <v>130</v>
      </c>
      <c r="I71" s="24">
        <v>0</v>
      </c>
      <c r="J71" s="6">
        <v>0</v>
      </c>
      <c r="K71" s="6">
        <v>0</v>
      </c>
    </row>
    <row r="72" spans="2:11">
      <c r="B72" s="35">
        <v>7</v>
      </c>
      <c r="C72" s="5">
        <v>0</v>
      </c>
      <c r="D72" s="6">
        <v>0</v>
      </c>
      <c r="E72" s="6">
        <v>2520</v>
      </c>
      <c r="F72" s="5">
        <v>9</v>
      </c>
      <c r="G72" s="6">
        <v>0</v>
      </c>
      <c r="H72" s="6">
        <v>0</v>
      </c>
      <c r="I72" s="24">
        <v>0</v>
      </c>
      <c r="J72" s="6">
        <v>661</v>
      </c>
      <c r="K72" s="6">
        <v>160</v>
      </c>
    </row>
    <row r="73" spans="2:11">
      <c r="B73" s="35">
        <v>8</v>
      </c>
      <c r="C73" s="5">
        <v>209</v>
      </c>
      <c r="D73" s="6">
        <v>0</v>
      </c>
      <c r="E73" s="6">
        <v>144</v>
      </c>
      <c r="F73" s="5">
        <v>0</v>
      </c>
      <c r="G73" s="6">
        <v>132</v>
      </c>
      <c r="H73" s="6">
        <v>3</v>
      </c>
      <c r="I73" s="24">
        <v>300</v>
      </c>
      <c r="J73" s="6">
        <v>6858</v>
      </c>
      <c r="K73" s="6">
        <v>80</v>
      </c>
    </row>
    <row r="74" spans="2:11">
      <c r="B74" s="35">
        <v>9</v>
      </c>
      <c r="C74" s="5">
        <v>3</v>
      </c>
      <c r="D74" s="6">
        <v>0</v>
      </c>
      <c r="E74" s="6">
        <v>3140</v>
      </c>
      <c r="F74" s="5">
        <v>0</v>
      </c>
      <c r="G74" s="6">
        <v>0</v>
      </c>
      <c r="H74" s="6">
        <v>0</v>
      </c>
      <c r="I74" s="24">
        <v>0</v>
      </c>
      <c r="J74" s="6">
        <v>0</v>
      </c>
      <c r="K74" s="6">
        <v>80</v>
      </c>
    </row>
    <row r="75" spans="2:11">
      <c r="B75" s="35">
        <v>10</v>
      </c>
      <c r="C75" s="5">
        <v>0</v>
      </c>
      <c r="D75" s="6">
        <v>12714</v>
      </c>
      <c r="E75" s="6">
        <v>2000</v>
      </c>
      <c r="F75" s="5">
        <v>0</v>
      </c>
      <c r="G75" s="6">
        <v>0</v>
      </c>
      <c r="H75" s="6">
        <v>1447</v>
      </c>
      <c r="I75" s="24">
        <v>0</v>
      </c>
      <c r="J75" s="6">
        <v>200</v>
      </c>
      <c r="K75" s="6">
        <v>80</v>
      </c>
    </row>
    <row r="76" spans="2:11">
      <c r="B76" s="35">
        <v>11</v>
      </c>
      <c r="C76" s="5">
        <v>0</v>
      </c>
      <c r="D76" s="6">
        <v>5086</v>
      </c>
      <c r="E76" s="6">
        <v>16321</v>
      </c>
      <c r="F76" s="5">
        <v>1</v>
      </c>
      <c r="G76" s="6">
        <v>0</v>
      </c>
      <c r="H76" s="6">
        <v>0</v>
      </c>
      <c r="I76" s="24">
        <v>0</v>
      </c>
      <c r="J76" s="6">
        <v>307</v>
      </c>
      <c r="K76" s="6">
        <v>80</v>
      </c>
    </row>
    <row r="77" spans="2:11">
      <c r="B77" s="35">
        <v>12</v>
      </c>
      <c r="C77" s="5">
        <v>7805</v>
      </c>
      <c r="D77" s="6">
        <v>955</v>
      </c>
      <c r="E77" s="6">
        <v>16113</v>
      </c>
      <c r="F77" s="5">
        <v>0</v>
      </c>
      <c r="G77" s="6">
        <v>3883</v>
      </c>
      <c r="H77" s="6">
        <v>9003</v>
      </c>
      <c r="I77" s="24">
        <v>0</v>
      </c>
      <c r="J77" s="6">
        <v>0</v>
      </c>
      <c r="K77" s="6">
        <v>80</v>
      </c>
    </row>
    <row r="78" spans="2:11" s="14" customFormat="1" ht="17.25" thickBot="1">
      <c r="B78" s="35" t="s">
        <v>31</v>
      </c>
      <c r="C78" s="11">
        <f t="shared" ref="C78:K78" si="4">SUM(C66:C77)</f>
        <v>14889</v>
      </c>
      <c r="D78" s="12">
        <f t="shared" si="4"/>
        <v>27156</v>
      </c>
      <c r="E78" s="12">
        <f t="shared" si="4"/>
        <v>43197</v>
      </c>
      <c r="F78" s="11">
        <f t="shared" si="4"/>
        <v>10</v>
      </c>
      <c r="G78" s="12">
        <f t="shared" si="4"/>
        <v>4015</v>
      </c>
      <c r="H78" s="12">
        <f t="shared" si="4"/>
        <v>54386</v>
      </c>
      <c r="I78" s="37">
        <f t="shared" si="4"/>
        <v>3075</v>
      </c>
      <c r="J78" s="12">
        <f t="shared" si="4"/>
        <v>8026</v>
      </c>
      <c r="K78" s="12">
        <f t="shared" si="4"/>
        <v>6240</v>
      </c>
    </row>
    <row r="79" spans="2:11">
      <c r="B79" s="70" t="s">
        <v>30</v>
      </c>
      <c r="C79" s="69" t="s">
        <v>24</v>
      </c>
      <c r="D79" s="68"/>
      <c r="E79" s="68"/>
      <c r="F79" s="69" t="s">
        <v>22</v>
      </c>
      <c r="G79" s="68"/>
      <c r="H79" s="68"/>
      <c r="I79" s="67" t="s">
        <v>25</v>
      </c>
      <c r="J79" s="68"/>
      <c r="K79" s="68"/>
    </row>
    <row r="80" spans="2:11">
      <c r="B80" s="70"/>
      <c r="C80" s="1">
        <v>2023</v>
      </c>
      <c r="D80" s="2">
        <v>2024</v>
      </c>
      <c r="E80" s="2">
        <v>2025</v>
      </c>
      <c r="F80" s="1">
        <v>2023</v>
      </c>
      <c r="G80" s="2">
        <v>2024</v>
      </c>
      <c r="H80" s="2">
        <v>2025</v>
      </c>
      <c r="I80" s="23">
        <v>2023</v>
      </c>
      <c r="J80" s="2">
        <v>2024</v>
      </c>
      <c r="K80" s="2">
        <v>2025</v>
      </c>
    </row>
    <row r="81" spans="2:11">
      <c r="B81" s="35">
        <v>1</v>
      </c>
      <c r="C81" s="5">
        <v>0</v>
      </c>
      <c r="D81" s="6">
        <v>0</v>
      </c>
      <c r="E81" s="6">
        <v>0</v>
      </c>
      <c r="F81" s="5">
        <v>0</v>
      </c>
      <c r="G81" s="6">
        <v>23765</v>
      </c>
      <c r="H81" s="6">
        <v>0</v>
      </c>
      <c r="I81" s="24">
        <v>0</v>
      </c>
      <c r="J81" s="6">
        <v>0</v>
      </c>
      <c r="K81" s="6">
        <v>0</v>
      </c>
    </row>
    <row r="82" spans="2:11">
      <c r="B82" s="35">
        <v>2</v>
      </c>
      <c r="C82" s="5">
        <v>0</v>
      </c>
      <c r="D82" s="6">
        <v>0</v>
      </c>
      <c r="E82" s="6">
        <v>0</v>
      </c>
      <c r="F82" s="5">
        <v>0</v>
      </c>
      <c r="G82" s="6">
        <v>4223</v>
      </c>
      <c r="H82" s="6">
        <v>1010</v>
      </c>
      <c r="I82" s="24">
        <v>0</v>
      </c>
      <c r="J82" s="6">
        <v>0</v>
      </c>
      <c r="K82" s="6">
        <v>0</v>
      </c>
    </row>
    <row r="83" spans="2:11">
      <c r="B83" s="35">
        <v>3</v>
      </c>
      <c r="C83" s="5">
        <v>0</v>
      </c>
      <c r="D83" s="6">
        <v>0</v>
      </c>
      <c r="E83" s="6">
        <v>138</v>
      </c>
      <c r="F83" s="5">
        <v>0</v>
      </c>
      <c r="G83" s="6">
        <v>0</v>
      </c>
      <c r="H83" s="6">
        <v>2645</v>
      </c>
      <c r="I83" s="24">
        <v>0</v>
      </c>
      <c r="J83" s="6">
        <v>0</v>
      </c>
      <c r="K83" s="6">
        <v>0</v>
      </c>
    </row>
    <row r="84" spans="2:11">
      <c r="B84" s="35">
        <v>4</v>
      </c>
      <c r="C84" s="5">
        <v>0</v>
      </c>
      <c r="D84" s="6">
        <v>0</v>
      </c>
      <c r="E84" s="6">
        <v>0</v>
      </c>
      <c r="F84" s="5">
        <v>0</v>
      </c>
      <c r="G84" s="6">
        <v>922</v>
      </c>
      <c r="H84" s="6">
        <v>96882</v>
      </c>
      <c r="I84" s="24">
        <v>0</v>
      </c>
      <c r="J84" s="6">
        <v>0</v>
      </c>
      <c r="K84" s="6">
        <v>1431</v>
      </c>
    </row>
    <row r="85" spans="2:11">
      <c r="B85" s="35">
        <v>5</v>
      </c>
      <c r="C85" s="5">
        <v>0</v>
      </c>
      <c r="D85" s="6">
        <v>0</v>
      </c>
      <c r="E85" s="6">
        <v>30</v>
      </c>
      <c r="F85" s="5">
        <v>0</v>
      </c>
      <c r="G85" s="6">
        <v>1150</v>
      </c>
      <c r="H85" s="6">
        <v>1010</v>
      </c>
      <c r="I85" s="24">
        <v>0</v>
      </c>
      <c r="J85" s="6">
        <v>0</v>
      </c>
      <c r="K85" s="6">
        <v>125</v>
      </c>
    </row>
    <row r="86" spans="2:11">
      <c r="B86" s="35">
        <v>6</v>
      </c>
      <c r="C86" s="5">
        <v>0</v>
      </c>
      <c r="D86" s="6">
        <v>0</v>
      </c>
      <c r="E86" s="6">
        <v>70</v>
      </c>
      <c r="F86" s="5">
        <v>0</v>
      </c>
      <c r="G86" s="6">
        <v>0</v>
      </c>
      <c r="H86" s="6">
        <v>1455</v>
      </c>
      <c r="I86" s="24">
        <v>0</v>
      </c>
      <c r="J86" s="6">
        <v>0</v>
      </c>
      <c r="K86" s="6">
        <v>840</v>
      </c>
    </row>
    <row r="87" spans="2:11">
      <c r="B87" s="35">
        <v>7</v>
      </c>
      <c r="C87" s="5">
        <v>0</v>
      </c>
      <c r="D87" s="6">
        <v>0</v>
      </c>
      <c r="E87" s="6">
        <v>16033</v>
      </c>
      <c r="F87" s="5">
        <v>0</v>
      </c>
      <c r="G87" s="6">
        <v>4752</v>
      </c>
      <c r="H87" s="6">
        <v>18016</v>
      </c>
      <c r="I87" s="24">
        <v>0</v>
      </c>
      <c r="J87" s="6">
        <v>0</v>
      </c>
      <c r="K87" s="6">
        <v>332</v>
      </c>
    </row>
    <row r="88" spans="2:11">
      <c r="B88" s="35">
        <v>8</v>
      </c>
      <c r="C88" s="5">
        <v>0</v>
      </c>
      <c r="D88" s="6">
        <v>0</v>
      </c>
      <c r="E88" s="6">
        <v>0</v>
      </c>
      <c r="F88" s="5">
        <v>0</v>
      </c>
      <c r="G88" s="6">
        <v>2035</v>
      </c>
      <c r="H88" s="6">
        <v>331</v>
      </c>
      <c r="I88" s="24">
        <v>0</v>
      </c>
      <c r="J88" s="6">
        <v>0</v>
      </c>
      <c r="K88" s="6">
        <v>11</v>
      </c>
    </row>
    <row r="89" spans="2:11">
      <c r="B89" s="35">
        <v>9</v>
      </c>
      <c r="C89" s="5">
        <v>157</v>
      </c>
      <c r="D89" s="6">
        <v>0</v>
      </c>
      <c r="E89" s="6">
        <v>0</v>
      </c>
      <c r="F89" s="5">
        <v>0</v>
      </c>
      <c r="G89" s="6">
        <v>1380</v>
      </c>
      <c r="H89" s="6">
        <v>15400</v>
      </c>
      <c r="I89" s="24">
        <v>0</v>
      </c>
      <c r="J89" s="6">
        <v>0</v>
      </c>
      <c r="K89" s="6">
        <v>1652</v>
      </c>
    </row>
    <row r="90" spans="2:11">
      <c r="B90" s="35">
        <v>10</v>
      </c>
      <c r="C90" s="5">
        <v>0</v>
      </c>
      <c r="D90" s="6">
        <v>0</v>
      </c>
      <c r="E90" s="6">
        <v>2243</v>
      </c>
      <c r="F90" s="5">
        <v>0</v>
      </c>
      <c r="G90" s="6">
        <v>6528</v>
      </c>
      <c r="H90" s="6">
        <v>8773</v>
      </c>
      <c r="I90" s="24">
        <v>0</v>
      </c>
      <c r="J90" s="6">
        <v>0</v>
      </c>
      <c r="K90" s="6">
        <v>917</v>
      </c>
    </row>
    <row r="91" spans="2:11">
      <c r="B91" s="35">
        <v>11</v>
      </c>
      <c r="C91" s="5">
        <v>0</v>
      </c>
      <c r="D91" s="6">
        <v>0</v>
      </c>
      <c r="E91" s="6">
        <v>0</v>
      </c>
      <c r="F91" s="5">
        <v>0</v>
      </c>
      <c r="G91" s="6">
        <v>386</v>
      </c>
      <c r="H91" s="6">
        <v>4765</v>
      </c>
      <c r="I91" s="24">
        <v>0</v>
      </c>
      <c r="J91" s="6">
        <v>0</v>
      </c>
      <c r="K91" s="6">
        <v>523</v>
      </c>
    </row>
    <row r="92" spans="2:11">
      <c r="B92" s="35">
        <v>12</v>
      </c>
      <c r="C92" s="5">
        <v>0</v>
      </c>
      <c r="D92" s="6">
        <v>700</v>
      </c>
      <c r="E92" s="6">
        <v>2130</v>
      </c>
      <c r="F92" s="5">
        <v>1</v>
      </c>
      <c r="G92" s="6">
        <v>3703</v>
      </c>
      <c r="H92" s="6">
        <v>17552</v>
      </c>
      <c r="I92" s="24">
        <v>0</v>
      </c>
      <c r="J92" s="6">
        <v>0</v>
      </c>
      <c r="K92" s="6">
        <v>22559</v>
      </c>
    </row>
    <row r="93" spans="2:11" s="14" customFormat="1" ht="17.25" thickBot="1">
      <c r="B93" s="35" t="s">
        <v>31</v>
      </c>
      <c r="C93" s="11">
        <f t="shared" ref="C93:K93" si="5">SUM(C81:C92)</f>
        <v>157</v>
      </c>
      <c r="D93" s="12">
        <f t="shared" si="5"/>
        <v>700</v>
      </c>
      <c r="E93" s="12">
        <f t="shared" si="5"/>
        <v>20644</v>
      </c>
      <c r="F93" s="11">
        <f t="shared" si="5"/>
        <v>1</v>
      </c>
      <c r="G93" s="12">
        <f t="shared" si="5"/>
        <v>48844</v>
      </c>
      <c r="H93" s="12">
        <f t="shared" si="5"/>
        <v>167839</v>
      </c>
      <c r="I93" s="37">
        <f t="shared" si="5"/>
        <v>0</v>
      </c>
      <c r="J93" s="12">
        <f t="shared" si="5"/>
        <v>0</v>
      </c>
      <c r="K93" s="12">
        <f t="shared" si="5"/>
        <v>28390</v>
      </c>
    </row>
    <row r="94" spans="2:11">
      <c r="B94" s="70" t="s">
        <v>30</v>
      </c>
      <c r="C94" s="69" t="s">
        <v>26</v>
      </c>
      <c r="D94" s="68"/>
      <c r="E94" s="68"/>
      <c r="F94" s="69" t="s">
        <v>27</v>
      </c>
      <c r="G94" s="68"/>
      <c r="H94" s="68"/>
      <c r="I94" s="67" t="s">
        <v>28</v>
      </c>
      <c r="J94" s="68"/>
      <c r="K94" s="68"/>
    </row>
    <row r="95" spans="2:11">
      <c r="B95" s="70"/>
      <c r="C95" s="1">
        <v>2023</v>
      </c>
      <c r="D95" s="2">
        <v>2024</v>
      </c>
      <c r="E95" s="2">
        <v>2025</v>
      </c>
      <c r="F95" s="1">
        <v>2023</v>
      </c>
      <c r="G95" s="2">
        <v>2024</v>
      </c>
      <c r="H95" s="2">
        <v>2025</v>
      </c>
      <c r="I95" s="23">
        <v>2023</v>
      </c>
      <c r="J95" s="2">
        <v>2024</v>
      </c>
      <c r="K95" s="2">
        <v>2025</v>
      </c>
    </row>
    <row r="96" spans="2:11">
      <c r="B96" s="35">
        <v>1</v>
      </c>
      <c r="C96" s="5">
        <v>0</v>
      </c>
      <c r="D96" s="6">
        <v>0</v>
      </c>
      <c r="E96" s="6">
        <v>0</v>
      </c>
      <c r="F96" s="5">
        <v>0</v>
      </c>
      <c r="G96" s="6">
        <v>0</v>
      </c>
      <c r="H96" s="6">
        <v>0</v>
      </c>
      <c r="I96" s="24">
        <v>0</v>
      </c>
      <c r="J96" s="6">
        <v>0</v>
      </c>
      <c r="K96" s="6">
        <v>0</v>
      </c>
    </row>
    <row r="97" spans="2:11">
      <c r="B97" s="35">
        <v>2</v>
      </c>
      <c r="C97" s="5">
        <v>0</v>
      </c>
      <c r="D97" s="6">
        <v>0</v>
      </c>
      <c r="E97" s="6">
        <v>0</v>
      </c>
      <c r="F97" s="5">
        <v>0</v>
      </c>
      <c r="G97" s="6">
        <v>0</v>
      </c>
      <c r="H97" s="6">
        <v>0</v>
      </c>
      <c r="I97" s="24">
        <v>0</v>
      </c>
      <c r="J97" s="6">
        <v>0</v>
      </c>
      <c r="K97" s="6">
        <v>0</v>
      </c>
    </row>
    <row r="98" spans="2:11">
      <c r="B98" s="35">
        <v>3</v>
      </c>
      <c r="C98" s="5">
        <v>0</v>
      </c>
      <c r="D98" s="6">
        <v>0</v>
      </c>
      <c r="E98" s="6">
        <v>0</v>
      </c>
      <c r="F98" s="5">
        <v>0</v>
      </c>
      <c r="G98" s="6">
        <v>0</v>
      </c>
      <c r="H98" s="6">
        <v>0</v>
      </c>
      <c r="I98" s="24">
        <v>0</v>
      </c>
      <c r="J98" s="6">
        <v>0</v>
      </c>
      <c r="K98" s="6">
        <v>0</v>
      </c>
    </row>
    <row r="99" spans="2:11">
      <c r="B99" s="35">
        <v>4</v>
      </c>
      <c r="C99" s="5">
        <v>0</v>
      </c>
      <c r="D99" s="6">
        <v>0</v>
      </c>
      <c r="E99" s="6">
        <v>0</v>
      </c>
      <c r="F99" s="5">
        <v>0</v>
      </c>
      <c r="G99" s="6">
        <v>0</v>
      </c>
      <c r="H99" s="6">
        <v>0</v>
      </c>
      <c r="I99" s="24">
        <v>0</v>
      </c>
      <c r="J99" s="6">
        <v>0</v>
      </c>
      <c r="K99" s="6">
        <v>0</v>
      </c>
    </row>
    <row r="100" spans="2:11">
      <c r="B100" s="35">
        <v>5</v>
      </c>
      <c r="C100" s="5">
        <v>0</v>
      </c>
      <c r="D100" s="6">
        <v>0</v>
      </c>
      <c r="E100" s="6">
        <v>0</v>
      </c>
      <c r="F100" s="5">
        <v>0</v>
      </c>
      <c r="G100" s="6">
        <v>0</v>
      </c>
      <c r="H100" s="6">
        <v>851</v>
      </c>
      <c r="I100" s="24">
        <v>0</v>
      </c>
      <c r="J100" s="6">
        <v>0</v>
      </c>
      <c r="K100" s="6">
        <v>0</v>
      </c>
    </row>
    <row r="101" spans="2:11">
      <c r="B101" s="35">
        <v>6</v>
      </c>
      <c r="C101" s="5">
        <v>0</v>
      </c>
      <c r="D101" s="6">
        <v>0</v>
      </c>
      <c r="E101" s="6">
        <v>0</v>
      </c>
      <c r="F101" s="5">
        <v>0</v>
      </c>
      <c r="G101" s="6">
        <v>0</v>
      </c>
      <c r="H101" s="6">
        <v>447</v>
      </c>
      <c r="I101" s="24">
        <v>0</v>
      </c>
      <c r="J101" s="6">
        <v>0</v>
      </c>
      <c r="K101" s="6">
        <v>0</v>
      </c>
    </row>
    <row r="102" spans="2:11">
      <c r="B102" s="35">
        <v>7</v>
      </c>
      <c r="C102" s="5">
        <v>0</v>
      </c>
      <c r="D102" s="6">
        <v>0</v>
      </c>
      <c r="E102" s="6">
        <v>0</v>
      </c>
      <c r="F102" s="5">
        <v>0</v>
      </c>
      <c r="G102" s="6">
        <v>0</v>
      </c>
      <c r="H102" s="6">
        <v>539</v>
      </c>
      <c r="I102" s="24">
        <v>0</v>
      </c>
      <c r="J102" s="6">
        <v>0</v>
      </c>
      <c r="K102" s="6">
        <v>0</v>
      </c>
    </row>
    <row r="103" spans="2:11">
      <c r="B103" s="35">
        <v>8</v>
      </c>
      <c r="C103" s="5">
        <v>0</v>
      </c>
      <c r="D103" s="6">
        <v>0</v>
      </c>
      <c r="E103" s="6">
        <v>0</v>
      </c>
      <c r="F103" s="5">
        <v>0</v>
      </c>
      <c r="G103" s="6">
        <v>0</v>
      </c>
      <c r="H103" s="6">
        <v>8400</v>
      </c>
      <c r="I103" s="24">
        <v>0</v>
      </c>
      <c r="J103" s="6">
        <v>0</v>
      </c>
      <c r="K103" s="6">
        <v>0</v>
      </c>
    </row>
    <row r="104" spans="2:11">
      <c r="B104" s="35">
        <v>9</v>
      </c>
      <c r="C104" s="5">
        <v>0</v>
      </c>
      <c r="D104" s="6">
        <v>0</v>
      </c>
      <c r="E104" s="6">
        <v>0</v>
      </c>
      <c r="F104" s="5">
        <v>0</v>
      </c>
      <c r="G104" s="6">
        <v>0</v>
      </c>
      <c r="H104" s="6">
        <v>0</v>
      </c>
      <c r="I104" s="24">
        <v>0</v>
      </c>
      <c r="J104" s="6">
        <v>0</v>
      </c>
      <c r="K104" s="6">
        <v>0</v>
      </c>
    </row>
    <row r="105" spans="2:11">
      <c r="B105" s="35">
        <v>10</v>
      </c>
      <c r="C105" s="5">
        <v>0</v>
      </c>
      <c r="D105" s="6">
        <v>0</v>
      </c>
      <c r="E105" s="6">
        <v>0</v>
      </c>
      <c r="F105" s="5">
        <v>0</v>
      </c>
      <c r="G105" s="6">
        <v>0</v>
      </c>
      <c r="H105" s="6">
        <v>29</v>
      </c>
      <c r="I105" s="24">
        <v>0</v>
      </c>
      <c r="J105" s="6">
        <v>0</v>
      </c>
      <c r="K105" s="6">
        <v>416</v>
      </c>
    </row>
    <row r="106" spans="2:11">
      <c r="B106" s="35">
        <v>11</v>
      </c>
      <c r="C106" s="5">
        <v>0</v>
      </c>
      <c r="D106" s="6">
        <v>0</v>
      </c>
      <c r="E106" s="6">
        <v>0</v>
      </c>
      <c r="F106" s="5">
        <v>0</v>
      </c>
      <c r="G106" s="6">
        <v>0</v>
      </c>
      <c r="H106" s="6">
        <v>500</v>
      </c>
      <c r="I106" s="24">
        <v>0</v>
      </c>
      <c r="J106" s="6">
        <v>0</v>
      </c>
      <c r="K106" s="6">
        <v>0</v>
      </c>
    </row>
    <row r="107" spans="2:11">
      <c r="B107" s="35">
        <v>12</v>
      </c>
      <c r="C107" s="5">
        <v>0</v>
      </c>
      <c r="D107" s="6">
        <v>0</v>
      </c>
      <c r="E107" s="6">
        <v>0</v>
      </c>
      <c r="F107" s="5">
        <v>0</v>
      </c>
      <c r="G107" s="6">
        <v>0</v>
      </c>
      <c r="H107" s="6">
        <v>348</v>
      </c>
      <c r="I107" s="24">
        <v>0</v>
      </c>
      <c r="J107" s="6">
        <v>0</v>
      </c>
      <c r="K107" s="6">
        <v>0</v>
      </c>
    </row>
    <row r="108" spans="2:11" s="14" customFormat="1" ht="17.25" thickBot="1">
      <c r="B108" s="38" t="s">
        <v>31</v>
      </c>
      <c r="C108" s="11">
        <f t="shared" ref="C108:K108" si="6">SUM(C96:C107)</f>
        <v>0</v>
      </c>
      <c r="D108" s="12">
        <f t="shared" si="6"/>
        <v>0</v>
      </c>
      <c r="E108" s="12">
        <f t="shared" si="6"/>
        <v>0</v>
      </c>
      <c r="F108" s="11">
        <f t="shared" si="6"/>
        <v>0</v>
      </c>
      <c r="G108" s="12">
        <f t="shared" si="6"/>
        <v>0</v>
      </c>
      <c r="H108" s="12">
        <f t="shared" si="6"/>
        <v>11114</v>
      </c>
      <c r="I108" s="37">
        <f t="shared" si="6"/>
        <v>0</v>
      </c>
      <c r="J108" s="12">
        <f t="shared" si="6"/>
        <v>0</v>
      </c>
      <c r="K108" s="12">
        <f t="shared" si="6"/>
        <v>416</v>
      </c>
    </row>
    <row r="109" spans="2:11">
      <c r="B109" s="71" t="s">
        <v>30</v>
      </c>
      <c r="C109" s="69" t="s">
        <v>47</v>
      </c>
      <c r="D109" s="68"/>
      <c r="E109" s="68"/>
      <c r="F109" s="65" t="s">
        <v>64</v>
      </c>
      <c r="G109" s="66"/>
      <c r="H109" s="66"/>
    </row>
    <row r="110" spans="2:11">
      <c r="B110" s="70"/>
      <c r="C110" s="1">
        <v>2023</v>
      </c>
      <c r="D110" s="2">
        <v>2024</v>
      </c>
      <c r="E110" s="2">
        <v>2025</v>
      </c>
      <c r="F110" s="43">
        <v>2023</v>
      </c>
      <c r="G110" s="39">
        <v>2024</v>
      </c>
      <c r="H110" s="39">
        <v>2025</v>
      </c>
    </row>
    <row r="111" spans="2:11">
      <c r="B111" s="35">
        <v>1</v>
      </c>
      <c r="C111" s="5">
        <v>0</v>
      </c>
      <c r="D111" s="6">
        <v>0</v>
      </c>
      <c r="E111" s="6">
        <v>0</v>
      </c>
      <c r="F111" s="44">
        <f t="shared" ref="F111:H122" si="7">C5+F5+I5+C20+F20+C35+I20+F35+I35+C50+F50+I50+C66+F66+I66+C81+F81+I81+C96+F96+I96+C111</f>
        <v>5893</v>
      </c>
      <c r="G111" s="40">
        <f t="shared" si="7"/>
        <v>77449</v>
      </c>
      <c r="H111" s="40">
        <f t="shared" si="7"/>
        <v>67495</v>
      </c>
    </row>
    <row r="112" spans="2:11">
      <c r="B112" s="35">
        <v>2</v>
      </c>
      <c r="C112" s="5">
        <v>0</v>
      </c>
      <c r="D112" s="6">
        <v>0</v>
      </c>
      <c r="E112" s="6">
        <v>0</v>
      </c>
      <c r="F112" s="44">
        <f t="shared" si="7"/>
        <v>20671</v>
      </c>
      <c r="G112" s="40">
        <f t="shared" si="7"/>
        <v>166107</v>
      </c>
      <c r="H112" s="40">
        <f t="shared" si="7"/>
        <v>117650</v>
      </c>
    </row>
    <row r="113" spans="2:8">
      <c r="B113" s="35">
        <v>3</v>
      </c>
      <c r="C113" s="5">
        <v>0</v>
      </c>
      <c r="D113" s="6">
        <v>0</v>
      </c>
      <c r="E113" s="6">
        <v>0</v>
      </c>
      <c r="F113" s="44">
        <f t="shared" si="7"/>
        <v>51865</v>
      </c>
      <c r="G113" s="40">
        <f t="shared" si="7"/>
        <v>57748</v>
      </c>
      <c r="H113" s="40">
        <f t="shared" si="7"/>
        <v>132989</v>
      </c>
    </row>
    <row r="114" spans="2:8">
      <c r="B114" s="35">
        <v>4</v>
      </c>
      <c r="C114" s="5">
        <v>0</v>
      </c>
      <c r="D114" s="6">
        <v>0</v>
      </c>
      <c r="E114" s="6">
        <v>0</v>
      </c>
      <c r="F114" s="44">
        <f t="shared" si="7"/>
        <v>38967</v>
      </c>
      <c r="G114" s="40">
        <f t="shared" si="7"/>
        <v>25331</v>
      </c>
      <c r="H114" s="40">
        <f t="shared" si="7"/>
        <v>203894</v>
      </c>
    </row>
    <row r="115" spans="2:8">
      <c r="B115" s="35">
        <v>5</v>
      </c>
      <c r="C115" s="5">
        <v>0</v>
      </c>
      <c r="D115" s="6">
        <v>0</v>
      </c>
      <c r="E115" s="6">
        <v>0</v>
      </c>
      <c r="F115" s="44">
        <f t="shared" si="7"/>
        <v>19996</v>
      </c>
      <c r="G115" s="40">
        <f t="shared" si="7"/>
        <v>78043</v>
      </c>
      <c r="H115" s="40">
        <f t="shared" si="7"/>
        <v>143313</v>
      </c>
    </row>
    <row r="116" spans="2:8">
      <c r="B116" s="35">
        <v>6</v>
      </c>
      <c r="C116" s="5">
        <v>0</v>
      </c>
      <c r="D116" s="6">
        <v>0</v>
      </c>
      <c r="E116" s="6">
        <v>0</v>
      </c>
      <c r="F116" s="44">
        <f t="shared" si="7"/>
        <v>127939</v>
      </c>
      <c r="G116" s="40">
        <f t="shared" si="7"/>
        <v>117152</v>
      </c>
      <c r="H116" s="40">
        <f t="shared" si="7"/>
        <v>141348</v>
      </c>
    </row>
    <row r="117" spans="2:8">
      <c r="B117" s="35">
        <v>7</v>
      </c>
      <c r="C117" s="5">
        <v>0</v>
      </c>
      <c r="D117" s="6">
        <v>0</v>
      </c>
      <c r="E117" s="6">
        <v>0</v>
      </c>
      <c r="F117" s="44">
        <f t="shared" si="7"/>
        <v>55007</v>
      </c>
      <c r="G117" s="40">
        <f t="shared" si="7"/>
        <v>54969</v>
      </c>
      <c r="H117" s="40">
        <f t="shared" si="7"/>
        <v>139942</v>
      </c>
    </row>
    <row r="118" spans="2:8">
      <c r="B118" s="35">
        <v>8</v>
      </c>
      <c r="C118" s="5">
        <v>0</v>
      </c>
      <c r="D118" s="6">
        <v>0</v>
      </c>
      <c r="E118" s="6">
        <v>0</v>
      </c>
      <c r="F118" s="44">
        <f t="shared" si="7"/>
        <v>56289</v>
      </c>
      <c r="G118" s="40">
        <f t="shared" si="7"/>
        <v>39190</v>
      </c>
      <c r="H118" s="40">
        <f t="shared" si="7"/>
        <v>48548</v>
      </c>
    </row>
    <row r="119" spans="2:8">
      <c r="B119" s="35">
        <v>9</v>
      </c>
      <c r="C119" s="5">
        <v>0</v>
      </c>
      <c r="D119" s="6">
        <v>0</v>
      </c>
      <c r="E119" s="6">
        <v>0</v>
      </c>
      <c r="F119" s="44">
        <f t="shared" si="7"/>
        <v>58776</v>
      </c>
      <c r="G119" s="40">
        <f t="shared" si="7"/>
        <v>77028</v>
      </c>
      <c r="H119" s="40">
        <f t="shared" si="7"/>
        <v>139724</v>
      </c>
    </row>
    <row r="120" spans="2:8">
      <c r="B120" s="35">
        <v>10</v>
      </c>
      <c r="C120" s="5">
        <v>0</v>
      </c>
      <c r="D120" s="6">
        <v>0</v>
      </c>
      <c r="E120" s="6">
        <v>0</v>
      </c>
      <c r="F120" s="44">
        <f t="shared" si="7"/>
        <v>57655</v>
      </c>
      <c r="G120" s="40">
        <f t="shared" si="7"/>
        <v>113672</v>
      </c>
      <c r="H120" s="40">
        <f t="shared" si="7"/>
        <v>82267</v>
      </c>
    </row>
    <row r="121" spans="2:8">
      <c r="B121" s="35">
        <v>11</v>
      </c>
      <c r="C121" s="5">
        <v>0</v>
      </c>
      <c r="D121" s="6">
        <v>0</v>
      </c>
      <c r="E121" s="6">
        <v>0</v>
      </c>
      <c r="F121" s="44">
        <f t="shared" si="7"/>
        <v>36598</v>
      </c>
      <c r="G121" s="40">
        <f t="shared" si="7"/>
        <v>176573</v>
      </c>
      <c r="H121" s="40">
        <f t="shared" si="7"/>
        <v>98098</v>
      </c>
    </row>
    <row r="122" spans="2:8">
      <c r="B122" s="35">
        <v>12</v>
      </c>
      <c r="C122" s="5">
        <v>0</v>
      </c>
      <c r="D122" s="6">
        <v>0</v>
      </c>
      <c r="E122" s="6">
        <v>0</v>
      </c>
      <c r="F122" s="44">
        <f t="shared" si="7"/>
        <v>127709</v>
      </c>
      <c r="G122" s="40">
        <f t="shared" si="7"/>
        <v>92428</v>
      </c>
      <c r="H122" s="40">
        <f t="shared" si="7"/>
        <v>221589</v>
      </c>
    </row>
    <row r="123" spans="2:8" ht="17.25" thickBot="1">
      <c r="B123" s="38" t="s">
        <v>31</v>
      </c>
      <c r="C123" s="11">
        <f t="shared" ref="C123:H123" si="8">SUM(C111:C122)</f>
        <v>0</v>
      </c>
      <c r="D123" s="12">
        <f t="shared" si="8"/>
        <v>0</v>
      </c>
      <c r="E123" s="12">
        <f t="shared" si="8"/>
        <v>0</v>
      </c>
      <c r="F123" s="45">
        <f t="shared" si="8"/>
        <v>657365</v>
      </c>
      <c r="G123" s="34">
        <f t="shared" si="8"/>
        <v>1075690</v>
      </c>
      <c r="H123" s="34">
        <f t="shared" si="8"/>
        <v>1536857</v>
      </c>
    </row>
  </sheetData>
  <mergeCells count="34">
    <mergeCell ref="B109:B110"/>
    <mergeCell ref="C109:E109"/>
    <mergeCell ref="F109:H109"/>
    <mergeCell ref="B79:B80"/>
    <mergeCell ref="C79:E79"/>
    <mergeCell ref="F79:H79"/>
    <mergeCell ref="I79:K79"/>
    <mergeCell ref="B94:B95"/>
    <mergeCell ref="C94:E94"/>
    <mergeCell ref="F94:H94"/>
    <mergeCell ref="I94:K94"/>
    <mergeCell ref="B48:B49"/>
    <mergeCell ref="C48:E48"/>
    <mergeCell ref="F48:H48"/>
    <mergeCell ref="I48:K48"/>
    <mergeCell ref="B63:K63"/>
    <mergeCell ref="B64:B65"/>
    <mergeCell ref="C64:E64"/>
    <mergeCell ref="F64:H64"/>
    <mergeCell ref="I64:K64"/>
    <mergeCell ref="B18:B19"/>
    <mergeCell ref="C18:E18"/>
    <mergeCell ref="F18:H18"/>
    <mergeCell ref="I18:K18"/>
    <mergeCell ref="B33:B34"/>
    <mergeCell ref="C33:E33"/>
    <mergeCell ref="F33:H33"/>
    <mergeCell ref="I33:K33"/>
    <mergeCell ref="B1:K1"/>
    <mergeCell ref="B2:K2"/>
    <mergeCell ref="B3:B4"/>
    <mergeCell ref="C3:E3"/>
    <mergeCell ref="F3:H3"/>
    <mergeCell ref="I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고정데이터1_2023년 기증방법별 기증량 </vt:lpstr>
      <vt:lpstr>고정데이터2_2024년 기증방법별 기증량 </vt:lpstr>
      <vt:lpstr>고정데이터3_2025년 기증방법별 기증량</vt:lpstr>
      <vt:lpstr>고정데이터4_2023-2025년 지점별 기업기증</vt:lpstr>
      <vt:lpstr>고정데이터5_직접기증(기증센터) 총 기증량</vt:lpstr>
      <vt:lpstr>고정데이터6_지점별 기증센터 기증량</vt:lpstr>
      <vt:lpstr>고정데이터7_지점별 기증센터 기증량2</vt:lpstr>
      <vt:lpstr>고정데이터8_지점별 월별 방문수거 기증량</vt:lpstr>
      <vt:lpstr>고정데이터9_지점별 월별 택배수거 기증량</vt:lpstr>
      <vt:lpstr>고정데이터10_지점별 월별 부서제출 기증량</vt:lpstr>
      <vt:lpstr>고정데이터11_지점별 월별 기업기증 기증량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굿윌 본부1</dc:creator>
  <cp:lastModifiedBy>굿윌 본부1</cp:lastModifiedBy>
  <dcterms:created xsi:type="dcterms:W3CDTF">2026-08-19T01:05:55Z</dcterms:created>
  <dcterms:modified xsi:type="dcterms:W3CDTF">2026-09-10T06:27:16Z</dcterms:modified>
</cp:coreProperties>
</file>